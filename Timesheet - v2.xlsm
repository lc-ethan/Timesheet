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ceth\Dropbox\Working Space\General\Tools\Productivity\Timesheet\"/>
    </mc:Choice>
  </mc:AlternateContent>
  <bookViews>
    <workbookView xWindow="0" yWindow="0" windowWidth="13335" windowHeight="7500" activeTab="2"/>
  </bookViews>
  <sheets>
    <sheet name="Input Page" sheetId="1" r:id="rId1"/>
    <sheet name="Task Lists" sheetId="7" r:id="rId2"/>
    <sheet name="System Variables" sheetId="3" r:id="rId3"/>
    <sheet name="Timesheet" sheetId="2" r:id="rId4"/>
    <sheet name="Settings" sheetId="4" r:id="rId5"/>
    <sheet name="Overview" sheetId="5" r:id="rId6"/>
  </sheets>
  <functionGroups builtInGroupCount="18"/>
  <externalReferences>
    <externalReference r:id="rId7"/>
  </externalReferences>
  <definedNames>
    <definedName name="INITIAL_DATE">'[1]Task List'!$D$2</definedName>
    <definedName name="SYS_DATE">'System Variables'!$B$2</definedName>
    <definedName name="SYS_TIME_END">'System Variables'!$B$6</definedName>
    <definedName name="SYS_TIME_REC_CURR">'System Variables'!$B$4</definedName>
    <definedName name="SYS_TIME_REC_INIT">'System Variables'!$B$3</definedName>
    <definedName name="SYS_TIME_START">'System Variables'!$B$5</definedName>
    <definedName name="TASK_VALIDATION">TABLE_TASK[]</definedName>
    <definedName name="USER_COMPANY">Settings!$B$5</definedName>
    <definedName name="USER_INIT_TIME">Settings!$B$3</definedName>
    <definedName name="USER_NAME">Settings!$B$4</definedName>
  </definedNames>
  <calcPr calcId="171027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" i="3" l="1"/>
  <c r="G4" i="3"/>
  <c r="G2" i="3"/>
  <c r="H17" i="4" l="1"/>
  <c r="F4" i="2" l="1"/>
  <c r="G3" i="1"/>
  <c r="G1" i="1"/>
  <c r="B2" i="3"/>
  <c r="B1" i="1" s="1"/>
  <c r="K4" i="2"/>
  <c r="J4" i="2"/>
  <c r="I4" i="2"/>
  <c r="G4" i="2"/>
  <c r="E4" i="2"/>
  <c r="B4" i="2"/>
  <c r="A1" i="1" l="1"/>
  <c r="B3" i="1"/>
</calcChain>
</file>

<file path=xl/comments1.xml><?xml version="1.0" encoding="utf-8"?>
<comments xmlns="http://schemas.openxmlformats.org/spreadsheetml/2006/main">
  <authors>
    <author>Ethan Li</author>
  </authors>
  <commentList>
    <comment ref="D6" authorId="0" shapeId="0">
      <text>
        <r>
          <rPr>
            <b/>
            <sz val="9"/>
            <color indexed="81"/>
            <rFont val="Tahoma"/>
            <family val="2"/>
          </rPr>
          <t>Ethan Li:</t>
        </r>
        <r>
          <rPr>
            <sz val="9"/>
            <color indexed="81"/>
            <rFont val="Tahoma"/>
            <family val="2"/>
          </rPr>
          <t xml:space="preserve">
If the project is not one-off, the budgeted hours will be hours per week</t>
        </r>
      </text>
    </comment>
  </commentList>
</comments>
</file>

<file path=xl/sharedStrings.xml><?xml version="1.0" encoding="utf-8"?>
<sst xmlns="http://schemas.openxmlformats.org/spreadsheetml/2006/main" count="110" uniqueCount="57">
  <si>
    <t>Date</t>
  </si>
  <si>
    <t>DoW</t>
  </si>
  <si>
    <t>Start</t>
  </si>
  <si>
    <t>End</t>
  </si>
  <si>
    <t>Duration</t>
  </si>
  <si>
    <t>Week</t>
  </si>
  <si>
    <t>Month</t>
  </si>
  <si>
    <t>Task</t>
  </si>
  <si>
    <t>Project Type</t>
  </si>
  <si>
    <t>Project Code</t>
  </si>
  <si>
    <t>Project Status</t>
  </si>
  <si>
    <t>Comment</t>
  </si>
  <si>
    <t>Start Date</t>
  </si>
  <si>
    <t>Current Date</t>
  </si>
  <si>
    <t>Initial Time</t>
  </si>
  <si>
    <t>Tracked Time</t>
  </si>
  <si>
    <t>Variable</t>
  </si>
  <si>
    <t>Value</t>
  </si>
  <si>
    <t>Task List</t>
  </si>
  <si>
    <t>Owner</t>
  </si>
  <si>
    <t>Company</t>
  </si>
  <si>
    <t>Ethan Li</t>
  </si>
  <si>
    <t>General/Admin/</t>
  </si>
  <si>
    <t>General/Break/</t>
  </si>
  <si>
    <t>Delete</t>
  </si>
  <si>
    <t>Start Time</t>
  </si>
  <si>
    <t>End Time</t>
  </si>
  <si>
    <t>Harmonic Analytics</t>
  </si>
  <si>
    <t>Budgeted Hours</t>
  </si>
  <si>
    <t>Ad-hoc</t>
  </si>
  <si>
    <t>PoC</t>
  </si>
  <si>
    <t>BAU</t>
  </si>
  <si>
    <t>One-off</t>
  </si>
  <si>
    <t>User Information:</t>
  </si>
  <si>
    <t>Project Settings:</t>
  </si>
  <si>
    <t>General/Internal Meetings/</t>
  </si>
  <si>
    <t>Default Project:</t>
  </si>
  <si>
    <t>a. Research</t>
  </si>
  <si>
    <t>c. Solution Development</t>
  </si>
  <si>
    <t>d. Documentation</t>
  </si>
  <si>
    <t>e. Follow-up</t>
  </si>
  <si>
    <t>z1. Communication</t>
  </si>
  <si>
    <t>z2. Admin</t>
  </si>
  <si>
    <t>a. Operation</t>
  </si>
  <si>
    <t>c. Change Request</t>
  </si>
  <si>
    <t>b. Maintainence</t>
  </si>
  <si>
    <t>b. Data Preparation</t>
  </si>
  <si>
    <t>b. Implementation</t>
  </si>
  <si>
    <t>BD</t>
  </si>
  <si>
    <t>a. Preparation</t>
  </si>
  <si>
    <t>Task Validations:</t>
  </si>
  <si>
    <t>Homepage</t>
  </si>
  <si>
    <t>General</t>
  </si>
  <si>
    <t>Admin</t>
  </si>
  <si>
    <t>Internal Meeting</t>
  </si>
  <si>
    <t>Break</t>
  </si>
  <si>
    <t>General/Internal Meeting/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</si>
</sst>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h:mm:ss"/>
  </numFmts>
  <fonts count="8" x14ac:knownFonts="1">
    <font>
      <sz val="11"/>
      <color theme="1"/>
      <name val="Tw Cen MT"/>
      <family val="2"/>
      <scheme val="minor"/>
    </font>
    <font>
      <b/>
      <sz val="14"/>
      <color theme="0"/>
      <name val="Tw Cen MT"/>
      <family val="2"/>
      <scheme val="minor"/>
    </font>
    <font>
      <b/>
      <sz val="11"/>
      <color theme="4"/>
      <name val="Tw Cen MT"/>
      <family val="2"/>
      <scheme val="minor"/>
    </font>
    <font>
      <b/>
      <sz val="20"/>
      <color theme="4"/>
      <name val="Tw Cen MT"/>
      <family val="2"/>
      <scheme val="minor"/>
    </font>
    <font>
      <sz val="9"/>
      <color theme="1"/>
      <name val="Tw Cen MT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Tw Cen MT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2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1" xfId="0" applyBorder="1"/>
    <xf numFmtId="0" fontId="0" fillId="0" borderId="2" xfId="0" applyBorder="1" applyAlignment="1">
      <alignment vertical="center"/>
    </xf>
    <xf numFmtId="0" fontId="0" fillId="0" borderId="2" xfId="0" applyBorder="1"/>
    <xf numFmtId="0" fontId="0" fillId="0" borderId="3" xfId="0" applyBorder="1" applyAlignment="1">
      <alignment vertical="center"/>
    </xf>
    <xf numFmtId="14" fontId="0" fillId="0" borderId="0" xfId="0" applyNumberFormat="1"/>
    <xf numFmtId="164" fontId="0" fillId="0" borderId="0" xfId="0" applyNumberFormat="1"/>
    <xf numFmtId="0" fontId="0" fillId="0" borderId="0" xfId="0" applyBorder="1"/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14" fontId="4" fillId="0" borderId="7" xfId="0" applyNumberFormat="1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8" xfId="0" applyFont="1" applyBorder="1" applyAlignment="1">
      <alignment horizontal="left"/>
    </xf>
    <xf numFmtId="0" fontId="4" fillId="0" borderId="4" xfId="0" applyFont="1" applyBorder="1" applyAlignment="1">
      <alignment horizontal="left" wrapText="1"/>
    </xf>
    <xf numFmtId="18" fontId="4" fillId="0" borderId="4" xfId="0" applyNumberFormat="1" applyFont="1" applyBorder="1" applyAlignment="1">
      <alignment horizontal="left"/>
    </xf>
    <xf numFmtId="18" fontId="0" fillId="0" borderId="0" xfId="0" applyNumberFormat="1"/>
    <xf numFmtId="2" fontId="0" fillId="0" borderId="0" xfId="0" applyNumberFormat="1"/>
    <xf numFmtId="0" fontId="4" fillId="0" borderId="4" xfId="0" applyNumberFormat="1" applyFont="1" applyBorder="1" applyAlignment="1">
      <alignment horizontal="left" vertical="center"/>
    </xf>
    <xf numFmtId="20" fontId="4" fillId="0" borderId="4" xfId="0" applyNumberFormat="1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9" xfId="0" applyBorder="1"/>
    <xf numFmtId="0" fontId="0" fillId="0" borderId="5" xfId="0" applyBorder="1"/>
    <xf numFmtId="0" fontId="0" fillId="0" borderId="10" xfId="0" applyBorder="1"/>
    <xf numFmtId="0" fontId="0" fillId="0" borderId="3" xfId="0" applyBorder="1"/>
    <xf numFmtId="0" fontId="0" fillId="0" borderId="6" xfId="0" applyBorder="1"/>
    <xf numFmtId="0" fontId="0" fillId="0" borderId="4" xfId="0" applyBorder="1"/>
    <xf numFmtId="0" fontId="0" fillId="0" borderId="7" xfId="0" applyBorder="1"/>
    <xf numFmtId="14" fontId="0" fillId="0" borderId="8" xfId="0" applyNumberFormat="1" applyBorder="1"/>
    <xf numFmtId="0" fontId="0" fillId="0" borderId="8" xfId="0" applyBorder="1"/>
    <xf numFmtId="0" fontId="0" fillId="0" borderId="11" xfId="0" applyBorder="1"/>
    <xf numFmtId="164" fontId="0" fillId="0" borderId="8" xfId="0" applyNumberFormat="1" applyBorder="1"/>
    <xf numFmtId="18" fontId="0" fillId="0" borderId="8" xfId="0" applyNumberFormat="1" applyBorder="1"/>
    <xf numFmtId="18" fontId="0" fillId="0" borderId="9" xfId="0" applyNumberFormat="1" applyBorder="1"/>
    <xf numFmtId="14" fontId="0" fillId="0" borderId="7" xfId="0" applyNumberFormat="1" applyBorder="1"/>
    <xf numFmtId="14" fontId="0" fillId="0" borderId="4" xfId="0" applyNumberFormat="1" applyBorder="1"/>
    <xf numFmtId="0" fontId="0" fillId="2" borderId="0" xfId="0" applyFill="1" applyAlignment="1">
      <alignment horizontal="center"/>
    </xf>
    <xf numFmtId="0" fontId="1" fillId="2" borderId="0" xfId="0" applyFont="1" applyFill="1" applyBorder="1" applyAlignment="1">
      <alignment horizontal="right" vertical="center"/>
    </xf>
    <xf numFmtId="0" fontId="1" fillId="2" borderId="6" xfId="0" applyFont="1" applyFill="1" applyBorder="1" applyAlignment="1">
      <alignment horizontal="right" vertical="center"/>
    </xf>
    <xf numFmtId="0" fontId="3" fillId="0" borderId="0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2" fillId="0" borderId="5" xfId="0" applyFont="1" applyBorder="1" applyAlignment="1">
      <alignment horizontal="left"/>
    </xf>
    <xf numFmtId="0" fontId="3" fillId="0" borderId="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/>
    </xf>
    <xf numFmtId="0" fontId="0" fillId="0" borderId="0" xfId="0" applyAlignment="1">
      <alignment horizontal="left"/>
    </xf>
    <xf numFmtId="0" fontId="7" fillId="2" borderId="0" xfId="0" applyFont="1" applyFill="1" applyAlignment="1">
      <alignment horizontal="center"/>
    </xf>
  </cellXfs>
  <cellStyles count="1">
    <cellStyle name="Normal" xfId="0" builtinId="0"/>
  </cellStyles>
  <dxfs count="73"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numFmt numFmtId="25" formatCode="h:mm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numFmt numFmtId="23" formatCode="h:mm\ AM/PM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numFmt numFmtId="23" formatCode="h:mm\ AM/PM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numFmt numFmtId="19" formatCode="d/mm/yyyy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alignment horizontal="left" vertical="center" textRotation="0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border diagonalUp="0" diagonalDown="0" outline="0">
        <left style="thin">
          <color auto="1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numFmt numFmtId="165" formatCode="d/mm/yy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</dxf>
    <dxf>
      <border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13586</xdr:colOff>
      <xdr:row>8</xdr:row>
      <xdr:rowOff>16167</xdr:rowOff>
    </xdr:from>
    <xdr:to>
      <xdr:col>1</xdr:col>
      <xdr:colOff>12081</xdr:colOff>
      <xdr:row>10</xdr:row>
      <xdr:rowOff>6325</xdr:rowOff>
    </xdr:to>
    <xdr:sp macro="[0]!TRACK_START" textlink="">
      <xdr:nvSpPr>
        <xdr:cNvPr id="27" name="Rectangle: Rounded Corners 26"/>
        <xdr:cNvSpPr/>
      </xdr:nvSpPr>
      <xdr:spPr>
        <a:xfrm>
          <a:off x="13586" y="2020558"/>
          <a:ext cx="685952" cy="347001"/>
        </a:xfrm>
        <a:prstGeom prst="roundRect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START</a:t>
          </a:r>
        </a:p>
      </xdr:txBody>
    </xdr:sp>
    <xdr:clientData/>
  </xdr:twoCellAnchor>
  <xdr:twoCellAnchor editAs="absolute">
    <xdr:from>
      <xdr:col>1</xdr:col>
      <xdr:colOff>337436</xdr:colOff>
      <xdr:row>8</xdr:row>
      <xdr:rowOff>16167</xdr:rowOff>
    </xdr:from>
    <xdr:to>
      <xdr:col>2</xdr:col>
      <xdr:colOff>335931</xdr:colOff>
      <xdr:row>10</xdr:row>
      <xdr:rowOff>6325</xdr:rowOff>
    </xdr:to>
    <xdr:sp macro="[0]!TRACK_END" textlink="">
      <xdr:nvSpPr>
        <xdr:cNvPr id="28" name="Rectangle: Rounded Corners 27"/>
        <xdr:cNvSpPr/>
      </xdr:nvSpPr>
      <xdr:spPr>
        <a:xfrm>
          <a:off x="1024893" y="2020558"/>
          <a:ext cx="685951" cy="347001"/>
        </a:xfrm>
        <a:prstGeom prst="roundRect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END</a:t>
          </a:r>
        </a:p>
      </xdr:txBody>
    </xdr:sp>
    <xdr:clientData/>
  </xdr:twoCellAnchor>
  <xdr:twoCellAnchor editAs="absolute">
    <xdr:from>
      <xdr:col>3</xdr:col>
      <xdr:colOff>1591</xdr:colOff>
      <xdr:row>8</xdr:row>
      <xdr:rowOff>6642</xdr:rowOff>
    </xdr:from>
    <xdr:to>
      <xdr:col>3</xdr:col>
      <xdr:colOff>678830</xdr:colOff>
      <xdr:row>9</xdr:row>
      <xdr:rowOff>171425</xdr:rowOff>
    </xdr:to>
    <xdr:sp macro="[0]!LOG_MANIPULATION.ADD_ENTRY" textlink="">
      <xdr:nvSpPr>
        <xdr:cNvPr id="29" name="Rectangle: Rounded Corners 28"/>
        <xdr:cNvSpPr/>
      </xdr:nvSpPr>
      <xdr:spPr>
        <a:xfrm>
          <a:off x="2055249" y="2011033"/>
          <a:ext cx="685951" cy="347001"/>
        </a:xfrm>
        <a:prstGeom prst="roundRect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NEW</a:t>
          </a:r>
        </a:p>
      </xdr:txBody>
    </xdr:sp>
    <xdr:clientData/>
  </xdr:twoCellAnchor>
  <xdr:twoCellAnchor editAs="absolute">
    <xdr:from>
      <xdr:col>3</xdr:col>
      <xdr:colOff>1048089</xdr:colOff>
      <xdr:row>8</xdr:row>
      <xdr:rowOff>1669</xdr:rowOff>
    </xdr:from>
    <xdr:to>
      <xdr:col>3</xdr:col>
      <xdr:colOff>1734040</xdr:colOff>
      <xdr:row>9</xdr:row>
      <xdr:rowOff>166452</xdr:rowOff>
    </xdr:to>
    <xdr:sp macro="[0]!CLEAR_ALL" textlink="">
      <xdr:nvSpPr>
        <xdr:cNvPr id="30" name="Rectangle: Rounded Corners 29"/>
        <xdr:cNvSpPr/>
      </xdr:nvSpPr>
      <xdr:spPr>
        <a:xfrm>
          <a:off x="3110459" y="2006060"/>
          <a:ext cx="685951" cy="347001"/>
        </a:xfrm>
        <a:prstGeom prst="roundRect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CLEAR</a:t>
          </a:r>
        </a:p>
      </xdr:txBody>
    </xdr:sp>
    <xdr:clientData/>
  </xdr:twoCellAnchor>
  <xdr:twoCellAnchor editAs="absolute">
    <xdr:from>
      <xdr:col>5</xdr:col>
      <xdr:colOff>356156</xdr:colOff>
      <xdr:row>8</xdr:row>
      <xdr:rowOff>5</xdr:rowOff>
    </xdr:from>
    <xdr:to>
      <xdr:col>6</xdr:col>
      <xdr:colOff>24851</xdr:colOff>
      <xdr:row>9</xdr:row>
      <xdr:rowOff>173939</xdr:rowOff>
    </xdr:to>
    <xdr:sp macro="[0]!LOG_INPUT" textlink="">
      <xdr:nvSpPr>
        <xdr:cNvPr id="32" name="Oval 31"/>
        <xdr:cNvSpPr/>
      </xdr:nvSpPr>
      <xdr:spPr>
        <a:xfrm>
          <a:off x="6344482" y="1457744"/>
          <a:ext cx="356152" cy="356152"/>
        </a:xfrm>
        <a:prstGeom prst="ellips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400" b="1"/>
            <a:t>L</a:t>
          </a:r>
        </a:p>
      </xdr:txBody>
    </xdr:sp>
    <xdr:clientData/>
  </xdr:twoCellAnchor>
  <xdr:twoCellAnchor>
    <xdr:from>
      <xdr:col>0</xdr:col>
      <xdr:colOff>0</xdr:colOff>
      <xdr:row>4</xdr:row>
      <xdr:rowOff>107672</xdr:rowOff>
    </xdr:from>
    <xdr:to>
      <xdr:col>1</xdr:col>
      <xdr:colOff>202410</xdr:colOff>
      <xdr:row>6</xdr:row>
      <xdr:rowOff>82825</xdr:rowOff>
    </xdr:to>
    <xdr:sp macro="" textlink="">
      <xdr:nvSpPr>
        <xdr:cNvPr id="33" name="TextBox 32"/>
        <xdr:cNvSpPr txBox="1"/>
      </xdr:nvSpPr>
      <xdr:spPr>
        <a:xfrm>
          <a:off x="0" y="836542"/>
          <a:ext cx="889867" cy="3395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NZ" sz="1100" b="1" u="sng">
              <a:solidFill>
                <a:schemeClr val="bg1"/>
              </a:solidFill>
            </a:rPr>
            <a:t>OVERVIEW</a:t>
          </a:r>
        </a:p>
      </xdr:txBody>
    </xdr:sp>
    <xdr:clientData/>
  </xdr:twoCellAnchor>
  <xdr:twoCellAnchor>
    <xdr:from>
      <xdr:col>1</xdr:col>
      <xdr:colOff>119146</xdr:colOff>
      <xdr:row>4</xdr:row>
      <xdr:rowOff>102699</xdr:rowOff>
    </xdr:from>
    <xdr:to>
      <xdr:col>3</xdr:col>
      <xdr:colOff>177372</xdr:colOff>
      <xdr:row>6</xdr:row>
      <xdr:rowOff>77852</xdr:rowOff>
    </xdr:to>
    <xdr:sp macro="" textlink="">
      <xdr:nvSpPr>
        <xdr:cNvPr id="34" name="TextBox 33"/>
        <xdr:cNvSpPr txBox="1"/>
      </xdr:nvSpPr>
      <xdr:spPr>
        <a:xfrm>
          <a:off x="806603" y="831569"/>
          <a:ext cx="1433139" cy="3395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NZ" sz="1100" b="1" u="sng">
              <a:solidFill>
                <a:schemeClr val="bg1"/>
              </a:solidFill>
            </a:rPr>
            <a:t>WEEKLY SUMMARY</a:t>
          </a:r>
        </a:p>
      </xdr:txBody>
    </xdr:sp>
    <xdr:clientData/>
  </xdr:twoCellAnchor>
  <xdr:twoCellAnchor>
    <xdr:from>
      <xdr:col>3</xdr:col>
      <xdr:colOff>180432</xdr:colOff>
      <xdr:row>4</xdr:row>
      <xdr:rowOff>106007</xdr:rowOff>
    </xdr:from>
    <xdr:to>
      <xdr:col>3</xdr:col>
      <xdr:colOff>1613571</xdr:colOff>
      <xdr:row>6</xdr:row>
      <xdr:rowOff>81160</xdr:rowOff>
    </xdr:to>
    <xdr:sp macro="" textlink="">
      <xdr:nvSpPr>
        <xdr:cNvPr id="35" name="TextBox 34"/>
        <xdr:cNvSpPr txBox="1"/>
      </xdr:nvSpPr>
      <xdr:spPr>
        <a:xfrm>
          <a:off x="2242802" y="834877"/>
          <a:ext cx="1433139" cy="3395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NZ" sz="1100" b="1" u="sng">
              <a:solidFill>
                <a:schemeClr val="bg1"/>
              </a:solidFill>
            </a:rPr>
            <a:t>PROJECT SUMMARY</a:t>
          </a:r>
        </a:p>
      </xdr:txBody>
    </xdr:sp>
    <xdr:clientData/>
  </xdr:twoCellAnchor>
  <xdr:twoCellAnchor>
    <xdr:from>
      <xdr:col>3</xdr:col>
      <xdr:colOff>1630545</xdr:colOff>
      <xdr:row>4</xdr:row>
      <xdr:rowOff>101040</xdr:rowOff>
    </xdr:from>
    <xdr:to>
      <xdr:col>4</xdr:col>
      <xdr:colOff>476537</xdr:colOff>
      <xdr:row>6</xdr:row>
      <xdr:rowOff>76193</xdr:rowOff>
    </xdr:to>
    <xdr:sp macro="" textlink="">
      <xdr:nvSpPr>
        <xdr:cNvPr id="36" name="TextBox 35"/>
        <xdr:cNvSpPr txBox="1"/>
      </xdr:nvSpPr>
      <xdr:spPr>
        <a:xfrm>
          <a:off x="3692915" y="829910"/>
          <a:ext cx="808970" cy="3395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NZ" sz="1100" b="1" u="sng">
              <a:solidFill>
                <a:schemeClr val="bg1"/>
              </a:solidFill>
            </a:rPr>
            <a:t>SETTINGS</a:t>
          </a:r>
        </a:p>
      </xdr:txBody>
    </xdr:sp>
    <xdr:clientData/>
  </xdr:twoCellAnchor>
  <xdr:twoCellAnchor>
    <xdr:from>
      <xdr:col>4</xdr:col>
      <xdr:colOff>514349</xdr:colOff>
      <xdr:row>4</xdr:row>
      <xdr:rowOff>104351</xdr:rowOff>
    </xdr:from>
    <xdr:to>
      <xdr:col>4</xdr:col>
      <xdr:colOff>1591088</xdr:colOff>
      <xdr:row>6</xdr:row>
      <xdr:rowOff>79504</xdr:rowOff>
    </xdr:to>
    <xdr:sp macro="" textlink="">
      <xdr:nvSpPr>
        <xdr:cNvPr id="37" name="TextBox 36"/>
        <xdr:cNvSpPr txBox="1"/>
      </xdr:nvSpPr>
      <xdr:spPr>
        <a:xfrm>
          <a:off x="4539697" y="833221"/>
          <a:ext cx="1076739" cy="3395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NZ" sz="1100" b="1" u="sng">
              <a:solidFill>
                <a:schemeClr val="bg1"/>
              </a:solidFill>
            </a:rPr>
            <a:t>SOURCE DATA</a:t>
          </a:r>
        </a:p>
      </xdr:txBody>
    </xdr:sp>
    <xdr:clientData/>
  </xdr:twoCellAnchor>
  <xdr:twoCellAnchor>
    <xdr:from>
      <xdr:col>5</xdr:col>
      <xdr:colOff>279400</xdr:colOff>
      <xdr:row>12</xdr:row>
      <xdr:rowOff>25400</xdr:rowOff>
    </xdr:from>
    <xdr:to>
      <xdr:col>5</xdr:col>
      <xdr:colOff>406400</xdr:colOff>
      <xdr:row>12</xdr:row>
      <xdr:rowOff>152400</xdr:rowOff>
    </xdr:to>
    <xdr:sp macro="CLEAR_LAST_ROW" textlink="">
      <xdr:nvSpPr>
        <xdr:cNvPr id="57" name="Multiplication Sign 56"/>
        <xdr:cNvSpPr/>
      </xdr:nvSpPr>
      <xdr:spPr>
        <a:xfrm>
          <a:off x="6223000" y="2159000"/>
          <a:ext cx="127000" cy="127000"/>
        </a:xfrm>
        <a:prstGeom prst="mathMultiply">
          <a:avLst/>
        </a:prstGeom>
        <a:solidFill>
          <a:schemeClr val="bg2">
            <a:lumMod val="50000"/>
          </a:schemeClr>
        </a:solidFill>
        <a:ln w="15875" cap="flat" cmpd="sng" algn="ctr">
          <a:solidFill>
            <a:schemeClr val="bg2">
              <a:lumMod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21169</xdr:colOff>
      <xdr:row>2</xdr:row>
      <xdr:rowOff>16933</xdr:rowOff>
    </xdr:from>
    <xdr:to>
      <xdr:col>1</xdr:col>
      <xdr:colOff>385235</xdr:colOff>
      <xdr:row>3</xdr:row>
      <xdr:rowOff>167916</xdr:rowOff>
    </xdr:to>
    <xdr:sp macro="[0]!ADD_TASK" textlink="">
      <xdr:nvSpPr>
        <xdr:cNvPr id="2" name="Rectangle: Rounded Corners 1"/>
        <xdr:cNvSpPr/>
      </xdr:nvSpPr>
      <xdr:spPr>
        <a:xfrm>
          <a:off x="21169" y="194733"/>
          <a:ext cx="1138766" cy="3287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600" b="1"/>
            <a:t>New</a:t>
          </a:r>
        </a:p>
      </xdr:txBody>
    </xdr:sp>
    <xdr:clientData/>
  </xdr:twoCellAnchor>
  <xdr:twoCellAnchor editAs="oneCell">
    <xdr:from>
      <xdr:col>1</xdr:col>
      <xdr:colOff>579969</xdr:colOff>
      <xdr:row>2</xdr:row>
      <xdr:rowOff>16933</xdr:rowOff>
    </xdr:from>
    <xdr:to>
      <xdr:col>1</xdr:col>
      <xdr:colOff>1718735</xdr:colOff>
      <xdr:row>3</xdr:row>
      <xdr:rowOff>167916</xdr:rowOff>
    </xdr:to>
    <xdr:sp macro="[0]!GENENERATE_TASKLIST" textlink="">
      <xdr:nvSpPr>
        <xdr:cNvPr id="3" name="Rectangle: Rounded Corners 2"/>
        <xdr:cNvSpPr/>
      </xdr:nvSpPr>
      <xdr:spPr>
        <a:xfrm>
          <a:off x="1354669" y="194733"/>
          <a:ext cx="1138766" cy="3287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600" b="1"/>
            <a:t>Update</a:t>
          </a:r>
        </a:p>
      </xdr:txBody>
    </xdr:sp>
    <xdr:clientData/>
  </xdr:twoCellAnchor>
  <xdr:twoCellAnchor>
    <xdr:from>
      <xdr:col>4</xdr:col>
      <xdr:colOff>279400</xdr:colOff>
      <xdr:row>8</xdr:row>
      <xdr:rowOff>25400</xdr:rowOff>
    </xdr:from>
    <xdr:to>
      <xdr:col>4</xdr:col>
      <xdr:colOff>406400</xdr:colOff>
      <xdr:row>8</xdr:row>
      <xdr:rowOff>152400</xdr:rowOff>
    </xdr:to>
    <xdr:sp macro="CLEAR_LAST_ROW" textlink="">
      <xdr:nvSpPr>
        <xdr:cNvPr id="26" name="Multiplication Sign 25"/>
        <xdr:cNvSpPr/>
      </xdr:nvSpPr>
      <xdr:spPr>
        <a:xfrm>
          <a:off x="5554133" y="914400"/>
          <a:ext cx="127000" cy="127000"/>
        </a:xfrm>
        <a:prstGeom prst="mathMultiply">
          <a:avLst/>
        </a:prstGeom>
        <a:solidFill>
          <a:schemeClr val="bg2">
            <a:lumMod val="50000"/>
          </a:schemeClr>
        </a:solidFill>
        <a:ln w="15875" cap="flat" cmpd="sng" algn="ctr">
          <a:solidFill>
            <a:schemeClr val="bg2">
              <a:lumMod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279400</xdr:colOff>
      <xdr:row>7</xdr:row>
      <xdr:rowOff>25400</xdr:rowOff>
    </xdr:from>
    <xdr:to>
      <xdr:col>4</xdr:col>
      <xdr:colOff>406400</xdr:colOff>
      <xdr:row>7</xdr:row>
      <xdr:rowOff>152400</xdr:rowOff>
    </xdr:to>
    <xdr:sp macro="DELETE_ROW" textlink="">
      <xdr:nvSpPr>
        <xdr:cNvPr id="6" name="Multiplication Sign 5"/>
        <xdr:cNvSpPr/>
      </xdr:nvSpPr>
      <xdr:spPr>
        <a:xfrm>
          <a:off x="5556250" y="1111250"/>
          <a:ext cx="127000" cy="127000"/>
        </a:xfrm>
        <a:prstGeom prst="mathMultiply">
          <a:avLst/>
        </a:prstGeom>
        <a:solidFill>
          <a:schemeClr val="bg2">
            <a:lumMod val="50000"/>
          </a:schemeClr>
        </a:solidFill>
        <a:ln w="15875" cap="flat" cmpd="sng" algn="ctr">
          <a:solidFill>
            <a:schemeClr val="bg2">
              <a:lumMod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279400</xdr:colOff>
      <xdr:row>6</xdr:row>
      <xdr:rowOff>25400</xdr:rowOff>
    </xdr:from>
    <xdr:to>
      <xdr:col>4</xdr:col>
      <xdr:colOff>406400</xdr:colOff>
      <xdr:row>6</xdr:row>
      <xdr:rowOff>152400</xdr:rowOff>
    </xdr:to>
    <xdr:sp macro="DELETE_ROW" textlink="">
      <xdr:nvSpPr>
        <xdr:cNvPr id="7" name="Multiplication Sign 6"/>
        <xdr:cNvSpPr/>
      </xdr:nvSpPr>
      <xdr:spPr>
        <a:xfrm>
          <a:off x="5556250" y="1111250"/>
          <a:ext cx="127000" cy="127000"/>
        </a:xfrm>
        <a:prstGeom prst="mathMultiply">
          <a:avLst/>
        </a:prstGeom>
        <a:solidFill>
          <a:schemeClr val="bg2">
            <a:lumMod val="50000"/>
          </a:schemeClr>
        </a:solidFill>
        <a:ln w="15875" cap="flat" cmpd="sng" algn="ctr">
          <a:solidFill>
            <a:schemeClr val="bg2">
              <a:lumMod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ww.dropbox.com/319282909/working%20space/general/tools/productivity/Timesheet/Workspace/Timeshe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Page"/>
      <sheetName val="Change Log"/>
      <sheetName val="Time Sheet"/>
      <sheetName val="Task List"/>
      <sheetName val="Overview"/>
      <sheetName val="Fortnightly Summary"/>
      <sheetName val="Project Summary"/>
      <sheetName val="Timesheet"/>
    </sheetNames>
    <sheetDataSet>
      <sheetData sheetId="0"/>
      <sheetData sheetId="1"/>
      <sheetData sheetId="2"/>
      <sheetData sheetId="3">
        <row r="2">
          <cell r="D2">
            <v>42548</v>
          </cell>
        </row>
      </sheetData>
      <sheetData sheetId="4"/>
      <sheetData sheetId="5"/>
      <sheetData sheetId="6"/>
      <sheetData sheetId="7" refreshError="1"/>
    </sheetDataSet>
  </externalBook>
</externalLink>
</file>

<file path=xl/tables/table1.xml><?xml version="1.0" encoding="utf-8"?>
<table xmlns="http://schemas.openxmlformats.org/spreadsheetml/2006/main" id="7" name="TABLE_INPUT" displayName="TABLE_INPUT" ref="A12:F13" totalsRowShown="0" headerRowDxfId="72" dataDxfId="70" headerRowBorderDxfId="71" tableBorderDxfId="69" totalsRowBorderDxfId="68">
  <sortState ref="A13:F14">
    <sortCondition ref="A13:A14"/>
    <sortCondition ref="B13:B14"/>
  </sortState>
  <tableColumns count="6">
    <tableColumn id="1" name="Date" dataDxfId="67"/>
    <tableColumn id="2" name="Start" dataDxfId="66"/>
    <tableColumn id="3" name="End" dataDxfId="65"/>
    <tableColumn id="4" name="Task" dataDxfId="64"/>
    <tableColumn id="5" name="Comment" dataDxfId="63"/>
    <tableColumn id="6" name="Delete" dataDxfId="6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_TASK_META" displayName="TABLE_TASK_META" ref="A6:E9" totalsRowShown="0" headerRowDxfId="9" headerRowBorderDxfId="7" tableBorderDxfId="8" totalsRowBorderDxfId="6">
  <tableColumns count="5">
    <tableColumn id="1" name="Project Type" dataDxfId="5"/>
    <tableColumn id="2" name="Project Code" dataDxfId="4"/>
    <tableColumn id="3" name="One-off" dataDxfId="3"/>
    <tableColumn id="4" name="Budgeted Hours" dataDxfId="2"/>
    <tableColumn id="5" name="Delete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_PARAM_SYS" displayName="TABLE_PARAM_SYS" ref="A1:B6" totalsRowShown="0" headerRowDxfId="61" headerRowBorderDxfId="60" tableBorderDxfId="59" totalsRowBorderDxfId="58">
  <autoFilter ref="A1:B6"/>
  <tableColumns count="2">
    <tableColumn id="1" name="Variable" dataDxfId="57"/>
    <tableColumn id="2" name="Value" dataDxfId="5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_TASK" displayName="TABLE_TASK" ref="I1:I7" totalsRowShown="0" headerRowDxfId="55" headerRowBorderDxfId="54" tableBorderDxfId="53" totalsRowBorderDxfId="52">
  <autoFilter ref="I1:I7"/>
  <tableColumns count="1">
    <tableColumn id="1" name="Task List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1" name="TABLE_TASK_ADDED" displayName="TABLE_TASK_ADDED" ref="D1:G4" totalsRowShown="0" headerRowDxfId="51" headerRowBorderDxfId="50" tableBorderDxfId="49" totalsRowBorderDxfId="48">
  <sortState ref="D2:G4">
    <sortCondition ref="G1:G4"/>
  </sortState>
  <tableColumns count="4">
    <tableColumn id="1" name="Project Type" dataDxfId="47"/>
    <tableColumn id="2" name="Project Code" dataDxfId="46"/>
    <tableColumn id="3" name="Project Status" dataDxfId="45"/>
    <tableColumn id="5" name="Task List" dataDxfId="44">
      <calculatedColumnFormula>TABLE_TASK_ADDED[[#This Row],[Project Type]] &amp; "/" &amp;TABLE_TASK_ADDED[[#This Row],[Project Code]] &amp; "/" &amp; IF(TABLE_TASK_ADDED[[#This Row],[Project Status]] = "", "", TABLE_TASK_ADDED[[#This Row],[Project Status]] &amp; ";")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" name="TABLE_SOURCE" displayName="TABLE_SOURCE" ref="A3:L4" totalsRowShown="0" headerRowDxfId="43" dataDxfId="41" headerRowBorderDxfId="42" tableBorderDxfId="40" totalsRowBorderDxfId="39">
  <tableColumns count="12">
    <tableColumn id="1" name="Date" dataDxfId="38"/>
    <tableColumn id="2" name="DoW" dataDxfId="37">
      <calculatedColumnFormula>TEXT(TABLE_SOURCE[[#This Row],[Date]], "dddd")</calculatedColumnFormula>
    </tableColumn>
    <tableColumn id="3" name="Start" dataDxfId="36"/>
    <tableColumn id="4" name="End" dataDxfId="35"/>
    <tableColumn id="5" name="Duration" dataDxfId="34">
      <calculatedColumnFormula>TABLE_SOURCE[[#This Row],[End]]-TABLE_SOURCE[[#This Row],[Start]]</calculatedColumnFormula>
    </tableColumn>
    <tableColumn id="6" name="Week" dataDxfId="33">
      <calculatedColumnFormula>"Week " &amp; INT((TABLE_SOURCE[[#This Row],[Date]]-USER_INIT_TIME)/7) + 1</calculatedColumnFormula>
    </tableColumn>
    <tableColumn id="7" name="Month" dataDxfId="32">
      <calculatedColumnFormula>YEAR(TABLE_SOURCE[Date]) &amp; "-" &amp; MONTH(TABLE_SOURCE[Date])</calculatedColumnFormula>
    </tableColumn>
    <tableColumn id="8" name="Task" dataDxfId="31"/>
    <tableColumn id="9" name="Project Type" dataDxfId="30">
      <calculatedColumnFormula>IF(ISERROR(FIND("/",TABLE_SOURCE[Task])),H4,MID(TABLE_SOURCE[Task],1,FIND("/",TABLE_SOURCE[Task])-1))</calculatedColumnFormula>
    </tableColumn>
    <tableColumn id="10" name="Project Code" dataDxfId="29">
      <calculatedColumnFormula>IF(ISERROR(FIND("/",TABLE_SOURCE[Task],FIND("/",TABLE_SOURCE[Task])+1)),"N/A",MID(TABLE_SOURCE[Task],FIND("/",TABLE_SOURCE[Task])+1,FIND("/",TABLE_SOURCE[Task],FIND("/",TABLE_SOURCE[Task])+1)-FIND("/",TABLE_SOURCE[Task],1)-1))</calculatedColumnFormula>
    </tableColumn>
    <tableColumn id="11" name="Project Status" dataDxfId="28">
      <calculatedColumnFormula>IF(ISERROR(FIND(";",TABLE_SOURCE[Task])),"N/A",MID(TABLE_SOURCE[Task],FIND("/",TABLE_SOURCE[Task],FIND("/",TABLE_SOURCE[Task])+1)+1,FIND(";",TABLE_SOURCE[Task]) -1 -FIND("/",TABLE_SOURCE[Task],FIND("/",TABLE_SOURCE[Task])+1)))</calculatedColumnFormula>
    </tableColumn>
    <tableColumn id="12" name="Comment" dataDxfId="2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3" name="TABLE_PARAM_USER" displayName="TABLE_PARAM_USER" ref="A2:B5" totalsRowShown="0" headerRowDxfId="26" headerRowBorderDxfId="25" tableBorderDxfId="24" totalsRowBorderDxfId="23">
  <tableColumns count="2">
    <tableColumn id="1" name="Variable" dataDxfId="22"/>
    <tableColumn id="2" name="Value" dataDxfId="2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6" name="TABLE_TASK_STATUS" displayName="TABLE_TASK_STATUS" ref="D2:E21" totalsRowShown="0" headerRowDxfId="20" headerRowBorderDxfId="19" tableBorderDxfId="18" totalsRowBorderDxfId="17">
  <tableColumns count="2">
    <tableColumn id="1" name="Project Type" dataDxfId="16"/>
    <tableColumn id="2" name="Project Status" dataDxfId="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TABLE_TASK_DEFAULT" displayName="TABLE_TASK_DEFAULT" ref="G2:G5" totalsRowShown="0" headerRowDxfId="14" headerRowBorderDxfId="13" tableBorderDxfId="12" totalsRowBorderDxfId="11">
  <autoFilter ref="G2:G5"/>
  <tableColumns count="1">
    <tableColumn id="1" name="Task List" dataDxf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Droplet">
  <a:themeElements>
    <a:clrScheme name="Droplet">
      <a:dk1>
        <a:sysClr val="windowText" lastClr="000000"/>
      </a:dk1>
      <a:lt1>
        <a:sysClr val="window" lastClr="FFFFFF"/>
      </a:lt1>
      <a:dk2>
        <a:srgbClr val="355071"/>
      </a:dk2>
      <a:lt2>
        <a:srgbClr val="AABED7"/>
      </a:lt2>
      <a:accent1>
        <a:srgbClr val="2FA3EE"/>
      </a:accent1>
      <a:accent2>
        <a:srgbClr val="4BCAAD"/>
      </a:accent2>
      <a:accent3>
        <a:srgbClr val="86C157"/>
      </a:accent3>
      <a:accent4>
        <a:srgbClr val="D99C3F"/>
      </a:accent4>
      <a:accent5>
        <a:srgbClr val="CE6633"/>
      </a:accent5>
      <a:accent6>
        <a:srgbClr val="A35DD1"/>
      </a:accent6>
      <a:hlink>
        <a:srgbClr val="56BCFE"/>
      </a:hlink>
      <a:folHlink>
        <a:srgbClr val="97C5E3"/>
      </a:folHlink>
    </a:clrScheme>
    <a:fontScheme name="Droplet">
      <a:maj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Droplet">
      <a:fillStyleLst>
        <a:solidFill>
          <a:schemeClr val="phClr"/>
        </a:solidFill>
        <a:solidFill>
          <a:schemeClr val="phClr">
            <a:tint val="69000"/>
            <a:satMod val="105000"/>
            <a:lumMod val="110000"/>
          </a:schemeClr>
        </a:solidFill>
        <a:gradFill rotWithShape="1">
          <a:gsLst>
            <a:gs pos="0">
              <a:schemeClr val="phClr">
                <a:tint val="94000"/>
                <a:satMod val="100000"/>
                <a:lumMod val="108000"/>
              </a:schemeClr>
            </a:gs>
            <a:gs pos="50000">
              <a:schemeClr val="phClr">
                <a:tint val="98000"/>
                <a:shade val="100000"/>
                <a:satMod val="100000"/>
                <a:lumMod val="100000"/>
              </a:schemeClr>
            </a:gs>
            <a:gs pos="100000">
              <a:schemeClr val="phClr">
                <a:shade val="72000"/>
                <a:satMod val="12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>
              <a:shade val="60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</a:effectStyle>
        <a:effectStyle>
          <a:effectLst>
            <a:outerShdw blurRad="63500" dist="25400" dir="5400000" algn="ctr" rotWithShape="0">
              <a:srgbClr val="000000">
                <a:alpha val="69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1200000"/>
            </a:lightRig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64000"/>
                <a:lumMod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4000"/>
                <a:shade val="100000"/>
                <a:hueMod val="130000"/>
                <a:satMod val="150000"/>
                <a:lumMod val="112000"/>
              </a:schemeClr>
            </a:gs>
            <a:gs pos="100000">
              <a:schemeClr val="phClr">
                <a:shade val="92000"/>
                <a:satMod val="140000"/>
                <a:lumMod val="11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roplet" id="{8984A317-299A-4E50-B45D-BFC9EDE2337A}" vid="{A633B6A3-9E7F-4C10-9C98-2517A3134361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7"/>
  <sheetViews>
    <sheetView zoomScaleNormal="100" zoomScalePageLayoutView="115" workbookViewId="0">
      <selection activeCell="E16" sqref="E16"/>
    </sheetView>
  </sheetViews>
  <sheetFormatPr defaultColWidth="8.875" defaultRowHeight="14.25" x14ac:dyDescent="0.2"/>
  <cols>
    <col min="1" max="1" width="9" customWidth="1"/>
    <col min="4" max="5" width="25.625" customWidth="1"/>
  </cols>
  <sheetData>
    <row r="1" spans="1:9" ht="14.25" customHeight="1" x14ac:dyDescent="0.2">
      <c r="A1" s="37">
        <f ca="1">YEAR(SYS_DATE)</f>
        <v>2016</v>
      </c>
      <c r="B1" s="39" t="str">
        <f ca="1">UPPER(TEXT(SYS_DATE, "mmmm")) &amp; "-" &amp; TEXT(SYS_DATE, "dd")</f>
        <v>SEPTEMBER-08</v>
      </c>
      <c r="C1" s="39"/>
      <c r="D1" s="39"/>
      <c r="G1" s="42" t="str">
        <f>USER_NAME</f>
        <v>Ethan Li</v>
      </c>
      <c r="H1" s="42"/>
      <c r="I1" s="42"/>
    </row>
    <row r="2" spans="1:9" ht="14.25" customHeight="1" x14ac:dyDescent="0.2">
      <c r="A2" s="38"/>
      <c r="B2" s="40"/>
      <c r="C2" s="40"/>
      <c r="D2" s="40"/>
      <c r="G2" s="43"/>
      <c r="H2" s="43"/>
      <c r="I2" s="43"/>
    </row>
    <row r="3" spans="1:9" x14ac:dyDescent="0.2">
      <c r="B3" s="41" t="str">
        <f ca="1" xml:space="preserve"> "(Week " &amp;  INT((SYS_DATE-USER_INIT_TIME)/7) + 1 &amp; ")"</f>
        <v>(Week 1)</v>
      </c>
      <c r="C3" s="41"/>
      <c r="G3" s="44" t="str">
        <f>USER_COMPANY</f>
        <v>Harmonic Analytics</v>
      </c>
      <c r="H3" s="44"/>
      <c r="I3" s="44"/>
    </row>
    <row r="5" spans="1:9" x14ac:dyDescent="0.2">
      <c r="A5" s="36"/>
      <c r="B5" s="36"/>
      <c r="C5" s="36"/>
      <c r="D5" s="36"/>
      <c r="E5" s="36"/>
      <c r="F5" s="36"/>
      <c r="G5" s="36"/>
      <c r="H5" s="36"/>
      <c r="I5" s="36"/>
    </row>
    <row r="6" spans="1:9" x14ac:dyDescent="0.2">
      <c r="A6" s="36"/>
      <c r="B6" s="36"/>
      <c r="C6" s="36"/>
      <c r="D6" s="36"/>
      <c r="E6" s="36"/>
      <c r="F6" s="36"/>
      <c r="G6" s="36"/>
      <c r="H6" s="36"/>
      <c r="I6" s="36"/>
    </row>
    <row r="7" spans="1:9" x14ac:dyDescent="0.2">
      <c r="A7" s="36"/>
      <c r="B7" s="36"/>
      <c r="C7" s="36"/>
      <c r="D7" s="36"/>
      <c r="E7" s="36"/>
      <c r="F7" s="36"/>
      <c r="G7" s="36"/>
      <c r="H7" s="36"/>
      <c r="I7" s="36"/>
    </row>
    <row r="8" spans="1:9" x14ac:dyDescent="0.2">
      <c r="A8" s="7"/>
      <c r="B8" s="7"/>
      <c r="C8" s="7"/>
      <c r="E8" s="7"/>
      <c r="F8" s="7"/>
    </row>
    <row r="9" spans="1:9" x14ac:dyDescent="0.2">
      <c r="A9" s="7"/>
      <c r="B9" s="7"/>
      <c r="C9" s="7"/>
      <c r="E9" s="7"/>
      <c r="F9" s="7"/>
    </row>
    <row r="10" spans="1:9" x14ac:dyDescent="0.2">
      <c r="A10" s="7"/>
      <c r="B10" s="7"/>
      <c r="C10" s="7"/>
      <c r="E10" s="7"/>
      <c r="F10" s="7"/>
    </row>
    <row r="12" spans="1:9" x14ac:dyDescent="0.2">
      <c r="A12" s="8" t="s">
        <v>0</v>
      </c>
      <c r="B12" s="9" t="s">
        <v>2</v>
      </c>
      <c r="C12" s="9" t="s">
        <v>3</v>
      </c>
      <c r="D12" s="9" t="s">
        <v>7</v>
      </c>
      <c r="E12" s="9" t="s">
        <v>11</v>
      </c>
      <c r="F12" s="10" t="s">
        <v>24</v>
      </c>
    </row>
    <row r="13" spans="1:9" x14ac:dyDescent="0.2">
      <c r="A13" s="11"/>
      <c r="B13" s="15"/>
      <c r="C13" s="15"/>
      <c r="D13" s="12"/>
      <c r="E13" s="14"/>
      <c r="F13" s="13"/>
    </row>
    <row r="17" spans="5:5" x14ac:dyDescent="0.2">
      <c r="E17" s="17"/>
    </row>
  </sheetData>
  <mergeCells count="6">
    <mergeCell ref="A5:I7"/>
    <mergeCell ref="A1:A2"/>
    <mergeCell ref="B1:D2"/>
    <mergeCell ref="B3:C3"/>
    <mergeCell ref="G1:I2"/>
    <mergeCell ref="G3:I3"/>
  </mergeCells>
  <dataValidations count="1">
    <dataValidation type="list" allowBlank="1" showInputMessage="1" showErrorMessage="1" sqref="D13">
      <formula1>TASK_VALIDATION</formula1>
    </dataValidation>
  </dataValidations>
  <pageMargins left="0.7" right="0.7" top="0.75" bottom="0.75" header="0.3" footer="0.3"/>
  <pageSetup paperSize="9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E9"/>
  <sheetViews>
    <sheetView zoomScaleNormal="100" workbookViewId="0">
      <selection activeCell="C4" sqref="C4:E4"/>
    </sheetView>
  </sheetViews>
  <sheetFormatPr defaultRowHeight="14.25" x14ac:dyDescent="0.2"/>
  <cols>
    <col min="1" max="1" width="10.125" bestFit="1" customWidth="1"/>
    <col min="2" max="2" width="26.375" customWidth="1"/>
    <col min="3" max="3" width="16.5" customWidth="1"/>
    <col min="4" max="4" width="16.25" customWidth="1"/>
    <col min="5" max="5" width="9" customWidth="1"/>
  </cols>
  <sheetData>
    <row r="1" spans="1:5" x14ac:dyDescent="0.2">
      <c r="A1" t="s">
        <v>51</v>
      </c>
    </row>
    <row r="3" spans="1:5" x14ac:dyDescent="0.2">
      <c r="C3" s="45" t="s">
        <v>50</v>
      </c>
      <c r="D3" s="45"/>
    </row>
    <row r="4" spans="1:5" x14ac:dyDescent="0.2">
      <c r="C4" s="46" t="s">
        <v>23</v>
      </c>
      <c r="D4" s="46"/>
      <c r="E4" s="46"/>
    </row>
    <row r="6" spans="1:5" x14ac:dyDescent="0.2">
      <c r="A6" s="1" t="s">
        <v>8</v>
      </c>
      <c r="B6" s="3" t="s">
        <v>9</v>
      </c>
      <c r="C6" s="3" t="s">
        <v>32</v>
      </c>
      <c r="D6" s="3" t="s">
        <v>28</v>
      </c>
      <c r="E6" s="24" t="s">
        <v>24</v>
      </c>
    </row>
    <row r="7" spans="1:5" x14ac:dyDescent="0.2">
      <c r="A7" s="27" t="s">
        <v>52</v>
      </c>
      <c r="B7" s="26" t="s">
        <v>55</v>
      </c>
      <c r="C7" s="26" t="b">
        <v>0</v>
      </c>
      <c r="D7" s="26"/>
      <c r="E7" s="29"/>
    </row>
    <row r="8" spans="1:5" x14ac:dyDescent="0.2">
      <c r="A8" s="27" t="s">
        <v>52</v>
      </c>
      <c r="B8" s="26" t="s">
        <v>54</v>
      </c>
      <c r="C8" s="26" t="b">
        <v>0</v>
      </c>
      <c r="D8" s="26"/>
      <c r="E8" s="29"/>
    </row>
    <row r="9" spans="1:5" x14ac:dyDescent="0.2">
      <c r="A9" s="27" t="s">
        <v>52</v>
      </c>
      <c r="B9" s="26" t="s">
        <v>53</v>
      </c>
      <c r="C9" s="26" t="b">
        <v>0</v>
      </c>
      <c r="D9" s="26"/>
      <c r="E9" s="29"/>
    </row>
  </sheetData>
  <mergeCells count="2">
    <mergeCell ref="C3:D3"/>
    <mergeCell ref="C4:E4"/>
  </mergeCells>
  <dataValidations count="1">
    <dataValidation type="list" allowBlank="1" showInputMessage="1" showErrorMessage="1" sqref="C4:E4">
      <formula1>TASK_VALIDATION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7"/>
  <sheetViews>
    <sheetView tabSelected="1" workbookViewId="0">
      <selection activeCell="F15" sqref="F15"/>
    </sheetView>
  </sheetViews>
  <sheetFormatPr defaultColWidth="8.875" defaultRowHeight="14.25" x14ac:dyDescent="0.2"/>
  <cols>
    <col min="1" max="1" width="11" bestFit="1" customWidth="1"/>
    <col min="2" max="2" width="10.625" bestFit="1" customWidth="1"/>
    <col min="3" max="3" width="10.625" customWidth="1"/>
    <col min="4" max="4" width="12.25" bestFit="1" customWidth="1"/>
    <col min="5" max="5" width="15.875" bestFit="1" customWidth="1"/>
    <col min="6" max="6" width="18.125" bestFit="1" customWidth="1"/>
    <col min="7" max="7" width="39" bestFit="1" customWidth="1"/>
    <col min="9" max="9" width="39" bestFit="1" customWidth="1"/>
  </cols>
  <sheetData>
    <row r="1" spans="1:9" x14ac:dyDescent="0.2">
      <c r="A1" s="1" t="s">
        <v>16</v>
      </c>
      <c r="B1" s="24" t="s">
        <v>17</v>
      </c>
      <c r="D1" s="1" t="s">
        <v>8</v>
      </c>
      <c r="E1" s="3" t="s">
        <v>9</v>
      </c>
      <c r="F1" s="3" t="s">
        <v>10</v>
      </c>
      <c r="G1" s="24" t="s">
        <v>18</v>
      </c>
      <c r="I1" s="25" t="s">
        <v>18</v>
      </c>
    </row>
    <row r="2" spans="1:9" x14ac:dyDescent="0.2">
      <c r="A2" s="27" t="s">
        <v>13</v>
      </c>
      <c r="B2" s="28">
        <f ca="1">TODAY()</f>
        <v>42621</v>
      </c>
      <c r="C2" s="5"/>
      <c r="D2" s="34" t="s">
        <v>52</v>
      </c>
      <c r="E2" s="35" t="s">
        <v>53</v>
      </c>
      <c r="F2" s="28"/>
      <c r="G2" s="28" t="str">
        <f>TABLE_TASK_ADDED[[#This Row],[Project Type]] &amp; "/" &amp;TABLE_TASK_ADDED[[#This Row],[Project Code]] &amp; "/" &amp; IF(TABLE_TASK_ADDED[[#This Row],[Project Status]] = "", "", TABLE_TASK_ADDED[[#This Row],[Project Status]] &amp; ";")</f>
        <v>General/Admin/</v>
      </c>
      <c r="I2" s="30" t="s">
        <v>22</v>
      </c>
    </row>
    <row r="3" spans="1:9" x14ac:dyDescent="0.2">
      <c r="A3" s="27" t="s">
        <v>14</v>
      </c>
      <c r="B3" s="31">
        <v>0</v>
      </c>
      <c r="C3" s="6"/>
      <c r="D3" s="34" t="s">
        <v>52</v>
      </c>
      <c r="E3" s="35" t="s">
        <v>55</v>
      </c>
      <c r="F3" s="29"/>
      <c r="G3" s="28" t="str">
        <f>TABLE_TASK_ADDED[[#This Row],[Project Type]] &amp; "/" &amp;TABLE_TASK_ADDED[[#This Row],[Project Code]] &amp; "/" &amp; IF(TABLE_TASK_ADDED[[#This Row],[Project Status]] = "", "", TABLE_TASK_ADDED[[#This Row],[Project Status]] &amp; ";")</f>
        <v>General/Break/</v>
      </c>
      <c r="I3" s="30" t="s">
        <v>35</v>
      </c>
    </row>
    <row r="4" spans="1:9" x14ac:dyDescent="0.2">
      <c r="A4" s="27" t="s">
        <v>15</v>
      </c>
      <c r="B4" s="31">
        <v>0</v>
      </c>
      <c r="C4" s="6"/>
      <c r="D4" s="34" t="s">
        <v>52</v>
      </c>
      <c r="E4" s="35" t="s">
        <v>54</v>
      </c>
      <c r="F4" s="28"/>
      <c r="G4" s="28" t="str">
        <f>TABLE_TASK_ADDED[[#This Row],[Project Type]] &amp; "/" &amp;TABLE_TASK_ADDED[[#This Row],[Project Code]] &amp; "/" &amp; IF(TABLE_TASK_ADDED[[#This Row],[Project Status]] = "", "", TABLE_TASK_ADDED[[#This Row],[Project Status]] &amp; ";")</f>
        <v>General/Internal Meeting/</v>
      </c>
      <c r="I4" s="22" t="s">
        <v>23</v>
      </c>
    </row>
    <row r="5" spans="1:9" x14ac:dyDescent="0.2">
      <c r="A5" s="27" t="s">
        <v>25</v>
      </c>
      <c r="B5" s="32">
        <v>0</v>
      </c>
      <c r="C5" s="16"/>
      <c r="I5" s="30" t="s">
        <v>22</v>
      </c>
    </row>
    <row r="6" spans="1:9" x14ac:dyDescent="0.2">
      <c r="A6" s="23" t="s">
        <v>26</v>
      </c>
      <c r="B6" s="33">
        <v>0.99930555555555556</v>
      </c>
      <c r="C6" s="16"/>
      <c r="I6" s="30" t="s">
        <v>23</v>
      </c>
    </row>
    <row r="7" spans="1:9" x14ac:dyDescent="0.2">
      <c r="I7" s="30" t="s">
        <v>56</v>
      </c>
    </row>
  </sheetData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L4"/>
  <sheetViews>
    <sheetView workbookViewId="0">
      <selection activeCell="E12" sqref="E12"/>
    </sheetView>
  </sheetViews>
  <sheetFormatPr defaultColWidth="10.625" defaultRowHeight="14.25" x14ac:dyDescent="0.2"/>
  <cols>
    <col min="1" max="1" width="9.875" bestFit="1" customWidth="1"/>
    <col min="2" max="2" width="7.875" bestFit="1" customWidth="1"/>
    <col min="8" max="8" width="22" bestFit="1" customWidth="1"/>
    <col min="9" max="9" width="10.375" bestFit="1" customWidth="1"/>
    <col min="11" max="11" width="11.125" bestFit="1" customWidth="1"/>
  </cols>
  <sheetData>
    <row r="3" spans="1:12" x14ac:dyDescent="0.2">
      <c r="A3" s="1" t="s">
        <v>0</v>
      </c>
      <c r="B3" s="2" t="s">
        <v>1</v>
      </c>
      <c r="C3" s="3" t="s">
        <v>2</v>
      </c>
      <c r="D3" s="3" t="s">
        <v>3</v>
      </c>
      <c r="E3" s="2" t="s">
        <v>4</v>
      </c>
      <c r="F3" s="2" t="s">
        <v>5</v>
      </c>
      <c r="G3" s="2" t="s">
        <v>6</v>
      </c>
      <c r="H3" s="3" t="s">
        <v>7</v>
      </c>
      <c r="I3" s="3" t="s">
        <v>8</v>
      </c>
      <c r="J3" s="2" t="s">
        <v>9</v>
      </c>
      <c r="K3" s="2" t="s">
        <v>10</v>
      </c>
      <c r="L3" s="4" t="s">
        <v>11</v>
      </c>
    </row>
    <row r="4" spans="1:12" x14ac:dyDescent="0.2">
      <c r="A4" s="11"/>
      <c r="B4" s="18" t="str">
        <f>TEXT(TABLE_SOURCE[[#This Row],[Date]], "dddd")</f>
        <v>Saturday</v>
      </c>
      <c r="C4" s="15"/>
      <c r="D4" s="15"/>
      <c r="E4" s="19">
        <f>TABLE_SOURCE[[#This Row],[End]]-TABLE_SOURCE[[#This Row],[Start]]</f>
        <v>0</v>
      </c>
      <c r="F4" s="18" t="str">
        <f>"Week " &amp; INT((TABLE_SOURCE[[#This Row],[Date]]-USER_INIT_TIME)/7) + 1</f>
        <v>Week -6088</v>
      </c>
      <c r="G4" s="20" t="str">
        <f>YEAR(TABLE_SOURCE[Date]) &amp; "-" &amp; MONTH(TABLE_SOURCE[Date])</f>
        <v>1900-1</v>
      </c>
      <c r="H4" s="12"/>
      <c r="I4" s="20">
        <f>IF(ISERROR(FIND("/",TABLE_SOURCE[Task])),H4,MID(TABLE_SOURCE[Task],1,FIND("/",TABLE_SOURCE[Task])-1))</f>
        <v>0</v>
      </c>
      <c r="J4" s="20" t="str">
        <f>IF(ISERROR(FIND("/",TABLE_SOURCE[Task],FIND("/",TABLE_SOURCE[Task])+1)),"N/A",MID(TABLE_SOURCE[Task],FIND("/",TABLE_SOURCE[Task])+1,FIND("/",TABLE_SOURCE[Task],FIND("/",TABLE_SOURCE[Task])+1)-FIND("/",TABLE_SOURCE[Task],1)-1))</f>
        <v>N/A</v>
      </c>
      <c r="K4" s="20" t="str">
        <f>IF(ISERROR(FIND(";",TABLE_SOURCE[Task])),"N/A",MID(TABLE_SOURCE[Task],FIND("/",TABLE_SOURCE[Task],FIND("/",TABLE_SOURCE[Task])+1)+1,FIND(";",TABLE_SOURCE[Task]) -1 -FIND("/",TABLE_SOURCE[Task],FIND("/",TABLE_SOURCE[Task])+1)))</f>
        <v>N/A</v>
      </c>
      <c r="L4" s="14"/>
    </row>
  </sheetData>
  <dataValidations count="1">
    <dataValidation type="list" allowBlank="1" showInputMessage="1" showErrorMessage="1" sqref="H4">
      <formula1>TASK_VALIDATION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1"/>
  <sheetViews>
    <sheetView workbookViewId="0">
      <selection activeCell="G3" sqref="G3:G5"/>
    </sheetView>
  </sheetViews>
  <sheetFormatPr defaultColWidth="8.875" defaultRowHeight="14.25" x14ac:dyDescent="0.2"/>
  <cols>
    <col min="1" max="1" width="9.625" bestFit="1" customWidth="1"/>
    <col min="2" max="2" width="15.125" bestFit="1" customWidth="1"/>
    <col min="4" max="4" width="12.25" bestFit="1" customWidth="1"/>
    <col min="5" max="5" width="18.125" bestFit="1" customWidth="1"/>
    <col min="7" max="7" width="21.25" bestFit="1" customWidth="1"/>
  </cols>
  <sheetData>
    <row r="1" spans="1:7" x14ac:dyDescent="0.2">
      <c r="A1" s="45" t="s">
        <v>33</v>
      </c>
      <c r="B1" s="45"/>
      <c r="D1" s="45" t="s">
        <v>34</v>
      </c>
      <c r="E1" s="45"/>
      <c r="G1" t="s">
        <v>36</v>
      </c>
    </row>
    <row r="2" spans="1:7" x14ac:dyDescent="0.2">
      <c r="A2" s="1" t="s">
        <v>16</v>
      </c>
      <c r="B2" s="24" t="s">
        <v>17</v>
      </c>
      <c r="D2" s="1" t="s">
        <v>8</v>
      </c>
      <c r="E2" s="24" t="s">
        <v>10</v>
      </c>
      <c r="G2" s="25" t="s">
        <v>18</v>
      </c>
    </row>
    <row r="3" spans="1:7" x14ac:dyDescent="0.2">
      <c r="A3" s="27" t="s">
        <v>12</v>
      </c>
      <c r="B3" s="28">
        <v>42617</v>
      </c>
      <c r="D3" s="27" t="s">
        <v>30</v>
      </c>
      <c r="E3" s="29" t="s">
        <v>37</v>
      </c>
      <c r="G3" s="30" t="s">
        <v>22</v>
      </c>
    </row>
    <row r="4" spans="1:7" x14ac:dyDescent="0.2">
      <c r="A4" s="27" t="s">
        <v>19</v>
      </c>
      <c r="B4" s="29" t="s">
        <v>21</v>
      </c>
      <c r="D4" s="27" t="s">
        <v>30</v>
      </c>
      <c r="E4" s="29" t="s">
        <v>46</v>
      </c>
      <c r="G4" s="30" t="s">
        <v>35</v>
      </c>
    </row>
    <row r="5" spans="1:7" x14ac:dyDescent="0.2">
      <c r="A5" s="23" t="s">
        <v>20</v>
      </c>
      <c r="B5" s="21" t="s">
        <v>27</v>
      </c>
      <c r="D5" s="27" t="s">
        <v>30</v>
      </c>
      <c r="E5" s="29" t="s">
        <v>38</v>
      </c>
      <c r="G5" s="22" t="s">
        <v>23</v>
      </c>
    </row>
    <row r="6" spans="1:7" x14ac:dyDescent="0.2">
      <c r="D6" s="27" t="s">
        <v>30</v>
      </c>
      <c r="E6" s="29" t="s">
        <v>39</v>
      </c>
    </row>
    <row r="7" spans="1:7" x14ac:dyDescent="0.2">
      <c r="D7" s="27" t="s">
        <v>30</v>
      </c>
      <c r="E7" s="29" t="s">
        <v>40</v>
      </c>
    </row>
    <row r="8" spans="1:7" x14ac:dyDescent="0.2">
      <c r="D8" s="27" t="s">
        <v>30</v>
      </c>
      <c r="E8" s="29" t="s">
        <v>41</v>
      </c>
    </row>
    <row r="9" spans="1:7" x14ac:dyDescent="0.2">
      <c r="D9" s="27" t="s">
        <v>30</v>
      </c>
      <c r="E9" s="29" t="s">
        <v>42</v>
      </c>
    </row>
    <row r="10" spans="1:7" x14ac:dyDescent="0.2">
      <c r="D10" s="27" t="s">
        <v>31</v>
      </c>
      <c r="E10" s="29" t="s">
        <v>43</v>
      </c>
    </row>
    <row r="11" spans="1:7" x14ac:dyDescent="0.2">
      <c r="D11" s="27" t="s">
        <v>31</v>
      </c>
      <c r="E11" s="29" t="s">
        <v>45</v>
      </c>
    </row>
    <row r="12" spans="1:7" x14ac:dyDescent="0.2">
      <c r="D12" s="27" t="s">
        <v>31</v>
      </c>
      <c r="E12" s="29" t="s">
        <v>44</v>
      </c>
    </row>
    <row r="13" spans="1:7" x14ac:dyDescent="0.2">
      <c r="D13" s="27" t="s">
        <v>31</v>
      </c>
      <c r="E13" s="29" t="s">
        <v>41</v>
      </c>
    </row>
    <row r="14" spans="1:7" x14ac:dyDescent="0.2">
      <c r="D14" s="27" t="s">
        <v>31</v>
      </c>
      <c r="E14" s="29" t="s">
        <v>42</v>
      </c>
    </row>
    <row r="15" spans="1:7" x14ac:dyDescent="0.2">
      <c r="D15" s="27" t="s">
        <v>29</v>
      </c>
      <c r="E15" s="29" t="s">
        <v>37</v>
      </c>
    </row>
    <row r="16" spans="1:7" x14ac:dyDescent="0.2">
      <c r="D16" s="27" t="s">
        <v>29</v>
      </c>
      <c r="E16" s="29" t="s">
        <v>47</v>
      </c>
    </row>
    <row r="17" spans="4:8" x14ac:dyDescent="0.2">
      <c r="D17" s="27" t="s">
        <v>29</v>
      </c>
      <c r="E17" s="29" t="s">
        <v>41</v>
      </c>
      <c r="H17" t="str">
        <f>VLOOKUP("PoC", D3:D13,1,)</f>
        <v>PoC</v>
      </c>
    </row>
    <row r="18" spans="4:8" x14ac:dyDescent="0.2">
      <c r="D18" s="23" t="s">
        <v>29</v>
      </c>
      <c r="E18" s="21" t="s">
        <v>42</v>
      </c>
    </row>
    <row r="19" spans="4:8" x14ac:dyDescent="0.2">
      <c r="D19" s="23" t="s">
        <v>48</v>
      </c>
      <c r="E19" s="21" t="s">
        <v>49</v>
      </c>
    </row>
    <row r="20" spans="4:8" x14ac:dyDescent="0.2">
      <c r="D20" s="23" t="s">
        <v>48</v>
      </c>
      <c r="E20" s="21" t="s">
        <v>41</v>
      </c>
    </row>
    <row r="21" spans="4:8" x14ac:dyDescent="0.2">
      <c r="D21" s="23" t="s">
        <v>48</v>
      </c>
      <c r="E21" s="21" t="s">
        <v>42</v>
      </c>
    </row>
  </sheetData>
  <mergeCells count="2">
    <mergeCell ref="A1:B1"/>
    <mergeCell ref="D1:E1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F7" sqref="F7"/>
    </sheetView>
  </sheetViews>
  <sheetFormatPr defaultColWidth="8.875" defaultRowHeight="14.25" x14ac:dyDescent="0.2"/>
  <cols>
    <col min="1" max="1" width="8.875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7C4451C-70FB-485C-9FD6-074453E8F7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Input Page</vt:lpstr>
      <vt:lpstr>Task Lists</vt:lpstr>
      <vt:lpstr>System Variables</vt:lpstr>
      <vt:lpstr>Timesheet</vt:lpstr>
      <vt:lpstr>Settings</vt:lpstr>
      <vt:lpstr>Overview</vt:lpstr>
      <vt:lpstr>SYS_DATE</vt:lpstr>
      <vt:lpstr>SYS_TIME_END</vt:lpstr>
      <vt:lpstr>SYS_TIME_REC_CURR</vt:lpstr>
      <vt:lpstr>SYS_TIME_REC_INIT</vt:lpstr>
      <vt:lpstr>SYS_TIME_START</vt:lpstr>
      <vt:lpstr>TASK_VALIDATION</vt:lpstr>
      <vt:lpstr>USER_COMPANY</vt:lpstr>
      <vt:lpstr>USER_INIT_TIME</vt:lpstr>
      <vt:lpstr>USER_NAME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 Li</dc:creator>
  <cp:lastModifiedBy>Ethan Li</cp:lastModifiedBy>
  <dcterms:created xsi:type="dcterms:W3CDTF">2016-08-22T11:58:01Z</dcterms:created>
  <dcterms:modified xsi:type="dcterms:W3CDTF">2016-09-07T22:18:26Z</dcterms:modified>
</cp:coreProperties>
</file>