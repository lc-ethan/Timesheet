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3340" windowHeight="7500" activeTab="4"/>
  </bookViews>
  <sheets>
    <sheet name="Input Page" sheetId="1" r:id="rId1"/>
    <sheet name="Task Lists" sheetId="7" r:id="rId2"/>
    <sheet name="System Variables" sheetId="3" state="hidden" r:id="rId3"/>
    <sheet name="Timesheet" sheetId="2" r:id="rId4"/>
    <sheet name="Settings" sheetId="4" r:id="rId5"/>
    <sheet name="Overview" sheetId="5" r:id="rId6"/>
  </sheets>
  <externalReferences>
    <externalReference r:id="rId7"/>
  </externalReferences>
  <definedNames>
    <definedName name="INITIAL_DATE">'[1]Task List'!$D$2</definedName>
    <definedName name="SYS_DATE">'System Variables'!$B$2</definedName>
    <definedName name="SYS_TIME_END">'System Variables'!$B$6</definedName>
    <definedName name="SYS_TIME_REC_CURR">'System Variables'!$B$4</definedName>
    <definedName name="SYS_TIME_REC_INIT">'System Variables'!$B$3</definedName>
    <definedName name="SYS_TIME_START">'System Variables'!$B$5</definedName>
    <definedName name="TASK_VALIDATION">TABLE_TASK[]</definedName>
    <definedName name="USER_COMPANY">Settings!$B$5</definedName>
    <definedName name="USER_INIT_TIME">Settings!$B$3</definedName>
    <definedName name="USER_NAME">Settings!$B$4</definedName>
  </definedName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2" i="4" l="1"/>
  <c r="G4" i="3"/>
  <c r="G6" i="3"/>
  <c r="G10" i="3"/>
  <c r="G11" i="3"/>
  <c r="G12" i="3"/>
  <c r="G13" i="3"/>
  <c r="G17" i="3"/>
  <c r="G2" i="3"/>
  <c r="G8" i="3"/>
  <c r="G9" i="3"/>
  <c r="G14" i="3"/>
  <c r="G18" i="3"/>
  <c r="G5" i="3"/>
  <c r="G7" i="3"/>
  <c r="G15" i="3"/>
  <c r="G19" i="3"/>
  <c r="G3" i="3"/>
  <c r="G16" i="3"/>
  <c r="G20" i="3"/>
  <c r="F4" i="2" l="1"/>
  <c r="G3" i="1"/>
  <c r="G1" i="1"/>
  <c r="B2" i="3"/>
  <c r="B1" i="1" s="1"/>
  <c r="K4" i="2"/>
  <c r="J4" i="2"/>
  <c r="I4" i="2"/>
  <c r="G4" i="2"/>
  <c r="E4" i="2"/>
  <c r="B4" i="2"/>
  <c r="A1" i="1" l="1"/>
  <c r="B3" i="1"/>
</calcChain>
</file>

<file path=xl/comments1.xml><?xml version="1.0" encoding="utf-8"?>
<comments xmlns="http://schemas.openxmlformats.org/spreadsheetml/2006/main">
  <authors>
    <author>Ethan Li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Ethan Li:</t>
        </r>
        <r>
          <rPr>
            <sz val="9"/>
            <color indexed="81"/>
            <rFont val="Tahoma"/>
            <family val="2"/>
          </rPr>
          <t xml:space="preserve">
If the project is not one-off, the budgeted hours will be hours per week</t>
        </r>
      </text>
    </comment>
  </commentList>
</comments>
</file>

<file path=xl/sharedStrings.xml><?xml version="1.0" encoding="utf-8"?>
<sst xmlns="http://schemas.openxmlformats.org/spreadsheetml/2006/main" count="135" uniqueCount="65">
  <si>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</si>
  <si>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</si>
  <si>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</si>
  <si>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</si>
  <si>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</si>
  <si>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</si>
  <si>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</si>
  <si>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</si>
  <si>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</si>
  <si>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</si>
  <si>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</si>
  <si>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</si>
  <si>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</si>
  <si>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</si>
  <si>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</si>
  <si>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</si>
  <si>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</si>
  <si>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</si>
  <si>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</si>
  <si>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</si>
  <si>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</si>
  <si>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</si>
  <si>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General/Admin/</t>
  </si>
  <si>
    <t>General/Break/</t>
  </si>
  <si>
    <t>Delete</t>
  </si>
  <si>
    <t>Start Time</t>
  </si>
  <si>
    <t>End Time</t>
  </si>
  <si>
    <t>Harmonic Analytics</t>
  </si>
  <si>
    <t>Budgeted Hours</t>
  </si>
  <si>
    <t>Ad-hoc</t>
  </si>
  <si>
    <t>PoC</t>
  </si>
  <si>
    <t>BAU</t>
  </si>
  <si>
    <t>One-off</t>
  </si>
  <si>
    <t>User Information:</t>
  </si>
  <si>
    <t>Project Settings:</t>
  </si>
  <si>
    <t>General/Internal Meetings/</t>
  </si>
  <si>
    <t>Default Project:</t>
  </si>
  <si>
    <t>a. Research</t>
  </si>
  <si>
    <t>c. Solution Development</t>
  </si>
  <si>
    <t>d. Documentation</t>
  </si>
  <si>
    <t>e. Follow-up</t>
  </si>
  <si>
    <t>z1. Communication</t>
  </si>
  <si>
    <t>z2. Admin</t>
  </si>
  <si>
    <t>a. Operation</t>
  </si>
  <si>
    <t>c. Change Request</t>
  </si>
  <si>
    <t>b. Maintainence</t>
  </si>
  <si>
    <t>b. Data Preparation</t>
  </si>
  <si>
    <t>b. Implementation</t>
  </si>
  <si>
    <t>//a. Operation;</t>
  </si>
  <si>
    <t>//a. Research;</t>
  </si>
  <si>
    <t>//b. Data Preparation;</t>
  </si>
  <si>
    <t>//b. Implementation;</t>
  </si>
  <si>
    <t>//b. Maintainence;</t>
  </si>
  <si>
    <t>//c. Change Request;</t>
  </si>
  <si>
    <t>//c. Solution Development;</t>
  </si>
  <si>
    <t>//d. Documentation;</t>
  </si>
  <si>
    <t>//e. Follow-up;</t>
  </si>
  <si>
    <t>//z1. Communication;</t>
  </si>
  <si>
    <t>//z2. Admin;</t>
  </si>
  <si>
    <t>BD</t>
  </si>
  <si>
    <t>a. Preparation</t>
  </si>
  <si>
    <t>Task Validations:</t>
  </si>
  <si>
    <t>Homepage</t>
  </si>
  <si>
    <t>//a. Preparation;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</si>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</sst>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8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sz val="9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4" xfId="0" applyFont="1" applyBorder="1" applyAlignment="1">
      <alignment horizontal="left" wrapText="1"/>
    </xf>
    <xf numFmtId="18" fontId="4" fillId="0" borderId="4" xfId="0" applyNumberFormat="1" applyFont="1" applyBorder="1" applyAlignment="1">
      <alignment horizontal="left"/>
    </xf>
    <xf numFmtId="18" fontId="0" fillId="0" borderId="0" xfId="0" applyNumberFormat="1"/>
    <xf numFmtId="2" fontId="0" fillId="0" borderId="0" xfId="0" applyNumberFormat="1"/>
    <xf numFmtId="0" fontId="4" fillId="0" borderId="4" xfId="0" applyNumberFormat="1" applyFont="1" applyBorder="1" applyAlignment="1">
      <alignment horizontal="left" vertical="center"/>
    </xf>
    <xf numFmtId="20" fontId="4" fillId="0" borderId="4" xfId="0" applyNumberFormat="1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right" vertical="center"/>
    </xf>
    <xf numFmtId="0" fontId="1" fillId="2" borderId="6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5" xfId="0" applyBorder="1"/>
    <xf numFmtId="0" fontId="0" fillId="0" borderId="10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0" fontId="0" fillId="0" borderId="11" xfId="0" applyBorder="1"/>
    <xf numFmtId="164" fontId="0" fillId="0" borderId="8" xfId="0" applyNumberFormat="1" applyBorder="1"/>
    <xf numFmtId="18" fontId="0" fillId="0" borderId="8" xfId="0" applyNumberFormat="1" applyBorder="1"/>
    <xf numFmtId="18" fontId="0" fillId="0" borderId="9" xfId="0" applyNumberFormat="1" applyBorder="1"/>
    <xf numFmtId="14" fontId="0" fillId="0" borderId="7" xfId="0" applyNumberFormat="1" applyBorder="1"/>
    <xf numFmtId="14" fontId="0" fillId="0" borderId="4" xfId="0" applyNumberFormat="1" applyBorder="1"/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73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9" formatCode="d/mm/yyyy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65" formatCode="d/mm/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13586</xdr:colOff>
      <xdr:row>8</xdr:row>
      <xdr:rowOff>16167</xdr:rowOff>
    </xdr:from>
    <xdr:to>
      <xdr:col>1</xdr:col>
      <xdr:colOff>12081</xdr:colOff>
      <xdr:row>10</xdr:row>
      <xdr:rowOff>6325</xdr:rowOff>
    </xdr:to>
    <xdr:sp macro="[0]!TRACK_START" textlink="">
      <xdr:nvSpPr>
        <xdr:cNvPr id="27" name="Rectangle: Rounded Corners 26"/>
        <xdr:cNvSpPr/>
      </xdr:nvSpPr>
      <xdr:spPr>
        <a:xfrm>
          <a:off x="13586" y="2020558"/>
          <a:ext cx="685952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START</a:t>
          </a:r>
        </a:p>
      </xdr:txBody>
    </xdr:sp>
    <xdr:clientData/>
  </xdr:twoCellAnchor>
  <xdr:twoCellAnchor editAs="absolute">
    <xdr:from>
      <xdr:col>1</xdr:col>
      <xdr:colOff>337436</xdr:colOff>
      <xdr:row>8</xdr:row>
      <xdr:rowOff>16167</xdr:rowOff>
    </xdr:from>
    <xdr:to>
      <xdr:col>2</xdr:col>
      <xdr:colOff>335931</xdr:colOff>
      <xdr:row>10</xdr:row>
      <xdr:rowOff>6325</xdr:rowOff>
    </xdr:to>
    <xdr:sp macro="[0]!TRACK_END" textlink="">
      <xdr:nvSpPr>
        <xdr:cNvPr id="28" name="Rectangle: Rounded Corners 27"/>
        <xdr:cNvSpPr/>
      </xdr:nvSpPr>
      <xdr:spPr>
        <a:xfrm>
          <a:off x="1024893" y="2020558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END</a:t>
          </a:r>
        </a:p>
      </xdr:txBody>
    </xdr:sp>
    <xdr:clientData/>
  </xdr:twoCellAnchor>
  <xdr:twoCellAnchor editAs="absolute">
    <xdr:from>
      <xdr:col>3</xdr:col>
      <xdr:colOff>1591</xdr:colOff>
      <xdr:row>8</xdr:row>
      <xdr:rowOff>6642</xdr:rowOff>
    </xdr:from>
    <xdr:to>
      <xdr:col>3</xdr:col>
      <xdr:colOff>678830</xdr:colOff>
      <xdr:row>9</xdr:row>
      <xdr:rowOff>171425</xdr:rowOff>
    </xdr:to>
    <xdr:sp macro="[0]!LOG_MANIPULATION.ADD_ENTRY" textlink="">
      <xdr:nvSpPr>
        <xdr:cNvPr id="29" name="Rectangle: Rounded Corners 28"/>
        <xdr:cNvSpPr/>
      </xdr:nvSpPr>
      <xdr:spPr>
        <a:xfrm>
          <a:off x="2055249" y="2011033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NEW</a:t>
          </a:r>
        </a:p>
      </xdr:txBody>
    </xdr:sp>
    <xdr:clientData/>
  </xdr:twoCellAnchor>
  <xdr:twoCellAnchor editAs="absolute">
    <xdr:from>
      <xdr:col>3</xdr:col>
      <xdr:colOff>1048089</xdr:colOff>
      <xdr:row>8</xdr:row>
      <xdr:rowOff>1669</xdr:rowOff>
    </xdr:from>
    <xdr:to>
      <xdr:col>3</xdr:col>
      <xdr:colOff>1734040</xdr:colOff>
      <xdr:row>9</xdr:row>
      <xdr:rowOff>166452</xdr:rowOff>
    </xdr:to>
    <xdr:sp macro="[0]!CLEAR_ALL" textlink="">
      <xdr:nvSpPr>
        <xdr:cNvPr id="30" name="Rectangle: Rounded Corners 29"/>
        <xdr:cNvSpPr/>
      </xdr:nvSpPr>
      <xdr:spPr>
        <a:xfrm>
          <a:off x="3110459" y="2006060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</a:t>
          </a:r>
        </a:p>
      </xdr:txBody>
    </xdr:sp>
    <xdr:clientData/>
  </xdr:twoCellAnchor>
  <xdr:twoCellAnchor editAs="absolute">
    <xdr:from>
      <xdr:col>5</xdr:col>
      <xdr:colOff>356156</xdr:colOff>
      <xdr:row>8</xdr:row>
      <xdr:rowOff>5</xdr:rowOff>
    </xdr:from>
    <xdr:to>
      <xdr:col>6</xdr:col>
      <xdr:colOff>24851</xdr:colOff>
      <xdr:row>9</xdr:row>
      <xdr:rowOff>173939</xdr:rowOff>
    </xdr:to>
    <xdr:sp macro="[0]!LOG_INPUT" textlink="">
      <xdr:nvSpPr>
        <xdr:cNvPr id="32" name="Oval 31"/>
        <xdr:cNvSpPr/>
      </xdr:nvSpPr>
      <xdr:spPr>
        <a:xfrm>
          <a:off x="6344482" y="1457744"/>
          <a:ext cx="356152" cy="356152"/>
        </a:xfrm>
        <a:prstGeom prst="ellips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>
    <xdr:from>
      <xdr:col>0</xdr:col>
      <xdr:colOff>0</xdr:colOff>
      <xdr:row>4</xdr:row>
      <xdr:rowOff>107672</xdr:rowOff>
    </xdr:from>
    <xdr:to>
      <xdr:col>1</xdr:col>
      <xdr:colOff>202410</xdr:colOff>
      <xdr:row>6</xdr:row>
      <xdr:rowOff>82825</xdr:rowOff>
    </xdr:to>
    <xdr:sp macro="" textlink="">
      <xdr:nvSpPr>
        <xdr:cNvPr id="33" name="TextBox 32"/>
        <xdr:cNvSpPr txBox="1"/>
      </xdr:nvSpPr>
      <xdr:spPr>
        <a:xfrm>
          <a:off x="0" y="836542"/>
          <a:ext cx="889867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 sz="1100" b="1" u="sng">
              <a:solidFill>
                <a:schemeClr val="bg1"/>
              </a:solidFill>
            </a:rPr>
            <a:t>OVERVIEW</a:t>
          </a:r>
        </a:p>
      </xdr:txBody>
    </xdr:sp>
    <xdr:clientData/>
  </xdr:twoCellAnchor>
  <xdr:twoCellAnchor>
    <xdr:from>
      <xdr:col>1</xdr:col>
      <xdr:colOff>119146</xdr:colOff>
      <xdr:row>4</xdr:row>
      <xdr:rowOff>102699</xdr:rowOff>
    </xdr:from>
    <xdr:to>
      <xdr:col>3</xdr:col>
      <xdr:colOff>177372</xdr:colOff>
      <xdr:row>6</xdr:row>
      <xdr:rowOff>77852</xdr:rowOff>
    </xdr:to>
    <xdr:sp macro="" textlink="">
      <xdr:nvSpPr>
        <xdr:cNvPr id="34" name="TextBox 33"/>
        <xdr:cNvSpPr txBox="1"/>
      </xdr:nvSpPr>
      <xdr:spPr>
        <a:xfrm>
          <a:off x="806603" y="831569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WEEKLY SUMMARY</a:t>
          </a:r>
        </a:p>
      </xdr:txBody>
    </xdr:sp>
    <xdr:clientData/>
  </xdr:twoCellAnchor>
  <xdr:twoCellAnchor>
    <xdr:from>
      <xdr:col>3</xdr:col>
      <xdr:colOff>180432</xdr:colOff>
      <xdr:row>4</xdr:row>
      <xdr:rowOff>106007</xdr:rowOff>
    </xdr:from>
    <xdr:to>
      <xdr:col>3</xdr:col>
      <xdr:colOff>1613571</xdr:colOff>
      <xdr:row>6</xdr:row>
      <xdr:rowOff>81160</xdr:rowOff>
    </xdr:to>
    <xdr:sp macro="" textlink="">
      <xdr:nvSpPr>
        <xdr:cNvPr id="35" name="TextBox 34"/>
        <xdr:cNvSpPr txBox="1"/>
      </xdr:nvSpPr>
      <xdr:spPr>
        <a:xfrm>
          <a:off x="2242802" y="834877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PROJECT SUMMARY</a:t>
          </a:r>
        </a:p>
      </xdr:txBody>
    </xdr:sp>
    <xdr:clientData/>
  </xdr:twoCellAnchor>
  <xdr:twoCellAnchor>
    <xdr:from>
      <xdr:col>3</xdr:col>
      <xdr:colOff>1630545</xdr:colOff>
      <xdr:row>4</xdr:row>
      <xdr:rowOff>101040</xdr:rowOff>
    </xdr:from>
    <xdr:to>
      <xdr:col>4</xdr:col>
      <xdr:colOff>476537</xdr:colOff>
      <xdr:row>6</xdr:row>
      <xdr:rowOff>76193</xdr:rowOff>
    </xdr:to>
    <xdr:sp macro="" textlink="">
      <xdr:nvSpPr>
        <xdr:cNvPr id="36" name="TextBox 35"/>
        <xdr:cNvSpPr txBox="1"/>
      </xdr:nvSpPr>
      <xdr:spPr>
        <a:xfrm>
          <a:off x="3692915" y="829910"/>
          <a:ext cx="808970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SETTINGS</a:t>
          </a:r>
        </a:p>
      </xdr:txBody>
    </xdr:sp>
    <xdr:clientData/>
  </xdr:twoCellAnchor>
  <xdr:twoCellAnchor>
    <xdr:from>
      <xdr:col>4</xdr:col>
      <xdr:colOff>514349</xdr:colOff>
      <xdr:row>4</xdr:row>
      <xdr:rowOff>104351</xdr:rowOff>
    </xdr:from>
    <xdr:to>
      <xdr:col>4</xdr:col>
      <xdr:colOff>1591088</xdr:colOff>
      <xdr:row>6</xdr:row>
      <xdr:rowOff>79504</xdr:rowOff>
    </xdr:to>
    <xdr:sp macro="" textlink="">
      <xdr:nvSpPr>
        <xdr:cNvPr id="37" name="TextBox 36"/>
        <xdr:cNvSpPr txBox="1"/>
      </xdr:nvSpPr>
      <xdr:spPr>
        <a:xfrm>
          <a:off x="4539697" y="833221"/>
          <a:ext cx="10767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SOURCE DATA</a:t>
          </a:r>
        </a:p>
      </xdr:txBody>
    </xdr:sp>
    <xdr:clientData/>
  </xdr:twoCellAnchor>
  <xdr:twoCellAnchor>
    <xdr:from>
      <xdr:col>5</xdr:col>
      <xdr:colOff>279400</xdr:colOff>
      <xdr:row>12</xdr:row>
      <xdr:rowOff>25400</xdr:rowOff>
    </xdr:from>
    <xdr:to>
      <xdr:col>5</xdr:col>
      <xdr:colOff>406400</xdr:colOff>
      <xdr:row>12</xdr:row>
      <xdr:rowOff>152400</xdr:rowOff>
    </xdr:to>
    <xdr:sp macro="CLEAR_LAST_ROW" textlink="">
      <xdr:nvSpPr>
        <xdr:cNvPr id="57" name="Multiplication Sign 56"/>
        <xdr:cNvSpPr/>
      </xdr:nvSpPr>
      <xdr:spPr>
        <a:xfrm>
          <a:off x="6223000" y="21590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21169</xdr:colOff>
      <xdr:row>2</xdr:row>
      <xdr:rowOff>16933</xdr:rowOff>
    </xdr:from>
    <xdr:to>
      <xdr:col>1</xdr:col>
      <xdr:colOff>385235</xdr:colOff>
      <xdr:row>3</xdr:row>
      <xdr:rowOff>167916</xdr:rowOff>
    </xdr:to>
    <xdr:sp macro="[0]!ADD_TASK" textlink="">
      <xdr:nvSpPr>
        <xdr:cNvPr id="2" name="Rectangle: Rounded Corners 1"/>
        <xdr:cNvSpPr/>
      </xdr:nvSpPr>
      <xdr:spPr>
        <a:xfrm>
          <a:off x="211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New</a:t>
          </a:r>
        </a:p>
      </xdr:txBody>
    </xdr:sp>
    <xdr:clientData/>
  </xdr:twoCellAnchor>
  <xdr:twoCellAnchor editAs="oneCell">
    <xdr:from>
      <xdr:col>1</xdr:col>
      <xdr:colOff>579969</xdr:colOff>
      <xdr:row>2</xdr:row>
      <xdr:rowOff>16933</xdr:rowOff>
    </xdr:from>
    <xdr:to>
      <xdr:col>1</xdr:col>
      <xdr:colOff>1718735</xdr:colOff>
      <xdr:row>3</xdr:row>
      <xdr:rowOff>167916</xdr:rowOff>
    </xdr:to>
    <xdr:sp macro="[0]!GENENERATE_TASKLIST" textlink="">
      <xdr:nvSpPr>
        <xdr:cNvPr id="3" name="Rectangle: Rounded Corners 2"/>
        <xdr:cNvSpPr/>
      </xdr:nvSpPr>
      <xdr:spPr>
        <a:xfrm>
          <a:off x="13546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Update</a:t>
          </a:r>
        </a:p>
      </xdr:txBody>
    </xdr:sp>
    <xdr:clientData/>
  </xdr:twoCellAnchor>
  <xdr:twoCellAnchor>
    <xdr:from>
      <xdr:col>4</xdr:col>
      <xdr:colOff>279400</xdr:colOff>
      <xdr:row>6</xdr:row>
      <xdr:rowOff>25400</xdr:rowOff>
    </xdr:from>
    <xdr:to>
      <xdr:col>4</xdr:col>
      <xdr:colOff>406400</xdr:colOff>
      <xdr:row>6</xdr:row>
      <xdr:rowOff>152400</xdr:rowOff>
    </xdr:to>
    <xdr:sp macro="CLEAR_LAST_ROW" textlink="">
      <xdr:nvSpPr>
        <xdr:cNvPr id="26" name="Multiplication Sign 25"/>
        <xdr:cNvSpPr/>
      </xdr:nvSpPr>
      <xdr:spPr>
        <a:xfrm>
          <a:off x="5554133" y="9144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dropbox.com/319282909/working%20space/general/tools/productivity/Timesheet/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7" name="TABLE_INPUT" displayName="TABLE_INPUT" ref="A12:F13" totalsRowShown="0" headerRowDxfId="72" dataDxfId="70" headerRowBorderDxfId="71" tableBorderDxfId="69" totalsRowBorderDxfId="68">
  <sortState ref="A13:F14">
    <sortCondition ref="A13:A14"/>
    <sortCondition ref="B13:B14"/>
  </sortState>
  <tableColumns count="6">
    <tableColumn id="1" name="Date" dataDxfId="67"/>
    <tableColumn id="2" name="Start" dataDxfId="66"/>
    <tableColumn id="3" name="End" dataDxfId="65"/>
    <tableColumn id="4" name="Task" dataDxfId="64"/>
    <tableColumn id="5" name="Comment" dataDxfId="63"/>
    <tableColumn id="6" name="Delete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TASK_META" displayName="TABLE_TASK_META" ref="A6:E7" totalsRowShown="0" headerRowDxfId="19" headerRowBorderDxfId="26" tableBorderDxfId="27" totalsRowBorderDxfId="25">
  <tableColumns count="5">
    <tableColumn id="1" name="Project Type" dataDxfId="24"/>
    <tableColumn id="2" name="Project Code" dataDxfId="23"/>
    <tableColumn id="3" name="One-off" dataDxfId="22"/>
    <tableColumn id="4" name="Budgeted Hours" dataDxfId="21"/>
    <tableColumn id="5" name="Delete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PARAM_SYS" displayName="TABLE_PARAM_SYS" ref="A1:B6" totalsRowShown="0" headerRowDxfId="13" headerRowBorderDxfId="17" tableBorderDxfId="18" totalsRowBorderDxfId="16">
  <autoFilter ref="A1:B6"/>
  <tableColumns count="2">
    <tableColumn id="1" name="Variable" dataDxfId="15"/>
    <tableColumn id="2" name="Valu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TASK" displayName="TABLE_TASK" ref="I1:I23" totalsRowShown="0" headerRowDxfId="2" headerRowBorderDxfId="4" tableBorderDxfId="5" totalsRowBorderDxfId="3">
  <autoFilter ref="I1:I23"/>
  <tableColumns count="1">
    <tableColumn id="1" name="Task List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_TASK_ADDED" displayName="TABLE_TASK_ADDED" ref="D1:G20" totalsRowShown="0" headerRowDxfId="6" headerRowBorderDxfId="11" tableBorderDxfId="12" totalsRowBorderDxfId="10">
  <sortState ref="D2:G20">
    <sortCondition ref="G1:G20"/>
  </sortState>
  <tableColumns count="4">
    <tableColumn id="1" name="Project Type" dataDxfId="9"/>
    <tableColumn id="2" name="Project Code" dataDxfId="8"/>
    <tableColumn id="3" name="Project Status" dataDxfId="1"/>
    <tableColumn id="5" name="Task List" dataDxfId="7">
      <calculatedColumnFormula>TABLE_TASK_ADDED[[#This Row],[Project Type]] &amp; "/" &amp;TABLE_TASK_ADDED[[#This Row],[Project Code]] &amp; "/" &amp; IF(TABLE_TASK_ADDED[[#This Row],[Project Status]] = "", "", TABLE_TASK_ADDED[[#This Row],[Project Status]] &amp; ";")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_SOURCE" displayName="TABLE_SOURCE" ref="A3:L4" totalsRowShown="0" headerRowDxfId="61" dataDxfId="59" headerRowBorderDxfId="60" tableBorderDxfId="58" totalsRowBorderDxfId="57">
  <tableColumns count="12">
    <tableColumn id="1" name="Date" dataDxfId="56"/>
    <tableColumn id="2" name="DoW" dataDxfId="55">
      <calculatedColumnFormula>TEXT(TABLE_SOURCE[[#This Row],[Date]], "dddd")</calculatedColumnFormula>
    </tableColumn>
    <tableColumn id="3" name="Start" dataDxfId="54"/>
    <tableColumn id="4" name="End" dataDxfId="53"/>
    <tableColumn id="5" name="Duration" dataDxfId="52">
      <calculatedColumnFormula>TABLE_SOURCE[[#This Row],[End]]-TABLE_SOURCE[[#This Row],[Start]]</calculatedColumnFormula>
    </tableColumn>
    <tableColumn id="6" name="Week" dataDxfId="51">
      <calculatedColumnFormula>"Week " &amp; INT((TABLE_SOURCE[[#This Row],[Date]]-USER_INIT_TIME)/7) + 1</calculatedColumnFormula>
    </tableColumn>
    <tableColumn id="7" name="Month" dataDxfId="50">
      <calculatedColumnFormula>YEAR(TABLE_SOURCE[Date]) &amp; "-" &amp; MONTH(TABLE_SOURCE[Date])</calculatedColumnFormula>
    </tableColumn>
    <tableColumn id="8" name="Task" dataDxfId="49"/>
    <tableColumn id="9" name="Project Type" dataDxfId="48">
      <calculatedColumnFormula>IF(ISERROR(FIND("/",TABLE_SOURCE[Task])),H4,MID(TABLE_SOURCE[Task],1,FIND("/",TABLE_SOURCE[Task])-1))</calculatedColumnFormula>
    </tableColumn>
    <tableColumn id="10" name="Project Code" dataDxfId="47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46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TABLE_PARAM_USER" displayName="TABLE_PARAM_USER" ref="A2:B5" totalsRowShown="0" headerRowDxfId="39" headerRowBorderDxfId="43" tableBorderDxfId="44" totalsRowBorderDxfId="42">
  <tableColumns count="2">
    <tableColumn id="1" name="Variable" dataDxfId="41"/>
    <tableColumn id="2" name="Value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_TASK_STATUS" displayName="TABLE_TASK_STATUS" ref="D2:E21" totalsRowShown="0" headerRowDxfId="33" headerRowBorderDxfId="37" tableBorderDxfId="38" totalsRowBorderDxfId="36">
  <tableColumns count="2">
    <tableColumn id="1" name="Project Type" dataDxfId="35"/>
    <tableColumn id="2" name="Project Status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_TASK_DEFAULT" displayName="TABLE_TASK_DEFAULT" ref="G2:G5" totalsRowShown="0" headerRowDxfId="28" headerRowBorderDxfId="31" tableBorderDxfId="32" totalsRowBorderDxfId="30">
  <autoFilter ref="G2:G5"/>
  <tableColumns count="1">
    <tableColumn id="1" name="Task List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zoomScaleNormal="100" zoomScalePageLayoutView="115" workbookViewId="0">
      <selection activeCell="E16" sqref="E16"/>
    </sheetView>
  </sheetViews>
  <sheetFormatPr defaultColWidth="8.83203125" defaultRowHeight="14" x14ac:dyDescent="0.45"/>
  <cols>
    <col min="1" max="1" width="9" customWidth="1"/>
    <col min="4" max="5" width="25.6640625" customWidth="1"/>
  </cols>
  <sheetData>
    <row r="1" spans="1:9" ht="14.25" customHeight="1" x14ac:dyDescent="0.45">
      <c r="A1" s="22">
        <f ca="1">YEAR(SYS_DATE)</f>
        <v>2016</v>
      </c>
      <c r="B1" s="24" t="str">
        <f ca="1">UPPER(TEXT(SYS_DATE, "mmmm")) &amp; "-" &amp; TEXT(SYS_DATE, "dd")</f>
        <v>SEPTEMBER-07</v>
      </c>
      <c r="C1" s="24"/>
      <c r="D1" s="24"/>
      <c r="G1" s="27" t="str">
        <f>USER_NAME</f>
        <v>Ethan Li</v>
      </c>
      <c r="H1" s="27"/>
      <c r="I1" s="27"/>
    </row>
    <row r="2" spans="1:9" ht="14.25" customHeight="1" x14ac:dyDescent="0.45">
      <c r="A2" s="23"/>
      <c r="B2" s="25"/>
      <c r="C2" s="25"/>
      <c r="D2" s="25"/>
      <c r="G2" s="28"/>
      <c r="H2" s="28"/>
      <c r="I2" s="28"/>
    </row>
    <row r="3" spans="1:9" x14ac:dyDescent="0.45">
      <c r="B3" s="26" t="str">
        <f ca="1" xml:space="preserve"> "(Week " &amp;  INT((SYS_DATE-USER_INIT_TIME)/7) + 1 &amp; ")"</f>
        <v>(Week 1)</v>
      </c>
      <c r="C3" s="26"/>
      <c r="G3" s="29" t="str">
        <f>USER_COMPANY</f>
        <v>Harmonic Analytics</v>
      </c>
      <c r="H3" s="29"/>
      <c r="I3" s="29"/>
    </row>
    <row r="5" spans="1:9" x14ac:dyDescent="0.45">
      <c r="A5" s="21"/>
      <c r="B5" s="21"/>
      <c r="C5" s="21"/>
      <c r="D5" s="21"/>
      <c r="E5" s="21"/>
      <c r="F5" s="21"/>
      <c r="G5" s="21"/>
      <c r="H5" s="21"/>
      <c r="I5" s="21"/>
    </row>
    <row r="6" spans="1:9" x14ac:dyDescent="0.45">
      <c r="A6" s="21"/>
      <c r="B6" s="21"/>
      <c r="C6" s="21"/>
      <c r="D6" s="21"/>
      <c r="E6" s="21"/>
      <c r="F6" s="21"/>
      <c r="G6" s="21"/>
      <c r="H6" s="21"/>
      <c r="I6" s="21"/>
    </row>
    <row r="7" spans="1:9" x14ac:dyDescent="0.45">
      <c r="A7" s="21"/>
      <c r="B7" s="21"/>
      <c r="C7" s="21"/>
      <c r="D7" s="21"/>
      <c r="E7" s="21"/>
      <c r="F7" s="21"/>
      <c r="G7" s="21"/>
      <c r="H7" s="21"/>
      <c r="I7" s="21"/>
    </row>
    <row r="8" spans="1:9" x14ac:dyDescent="0.45">
      <c r="A8" s="7"/>
      <c r="B8" s="7"/>
      <c r="C8" s="7"/>
      <c r="E8" s="7"/>
      <c r="F8" s="7"/>
    </row>
    <row r="9" spans="1:9" x14ac:dyDescent="0.45">
      <c r="A9" s="7"/>
      <c r="B9" s="7"/>
      <c r="C9" s="7"/>
      <c r="E9" s="7"/>
      <c r="F9" s="7"/>
    </row>
    <row r="10" spans="1:9" x14ac:dyDescent="0.45">
      <c r="A10" s="7"/>
      <c r="B10" s="7"/>
      <c r="C10" s="7"/>
      <c r="E10" s="7"/>
      <c r="F10" s="7"/>
    </row>
    <row r="12" spans="1:9" x14ac:dyDescent="0.45">
      <c r="A12" s="8" t="s">
        <v>0</v>
      </c>
      <c r="B12" s="9" t="s">
        <v>2</v>
      </c>
      <c r="C12" s="9" t="s">
        <v>3</v>
      </c>
      <c r="D12" s="9" t="s">
        <v>7</v>
      </c>
      <c r="E12" s="9" t="s">
        <v>11</v>
      </c>
      <c r="F12" s="10" t="s">
        <v>24</v>
      </c>
    </row>
    <row r="13" spans="1:9" x14ac:dyDescent="0.45">
      <c r="A13" s="11"/>
      <c r="B13" s="15"/>
      <c r="C13" s="15"/>
      <c r="D13" s="12"/>
      <c r="E13" s="14"/>
      <c r="F13" s="13"/>
    </row>
    <row r="17" spans="5:5" x14ac:dyDescent="0.45">
      <c r="E17" s="17"/>
    </row>
  </sheetData>
  <mergeCells count="6">
    <mergeCell ref="A5:I7"/>
    <mergeCell ref="A1:A2"/>
    <mergeCell ref="B1:D2"/>
    <mergeCell ref="B3:C3"/>
    <mergeCell ref="G1:I2"/>
    <mergeCell ref="G3:I3"/>
  </mergeCells>
  <dataValidations count="1">
    <dataValidation type="list" allowBlank="1" showInputMessage="1" showErrorMessage="1" sqref="D13">
      <formula1>TASK_VALIDATION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7"/>
  <sheetViews>
    <sheetView zoomScaleNormal="100" workbookViewId="0">
      <selection activeCell="D12" sqref="D12"/>
    </sheetView>
  </sheetViews>
  <sheetFormatPr defaultRowHeight="14" x14ac:dyDescent="0.45"/>
  <cols>
    <col min="1" max="1" width="10.1640625" bestFit="1" customWidth="1"/>
    <col min="2" max="2" width="26.33203125" customWidth="1"/>
    <col min="3" max="3" width="16.5" customWidth="1"/>
    <col min="4" max="4" width="16.21875" customWidth="1"/>
    <col min="5" max="5" width="9" customWidth="1"/>
  </cols>
  <sheetData>
    <row r="1" spans="1:5" x14ac:dyDescent="0.45">
      <c r="A1" t="s">
        <v>62</v>
      </c>
    </row>
    <row r="3" spans="1:5" x14ac:dyDescent="0.45">
      <c r="C3" s="30" t="s">
        <v>61</v>
      </c>
      <c r="D3" s="30"/>
    </row>
    <row r="4" spans="1:5" x14ac:dyDescent="0.45">
      <c r="C4" s="46" t="s">
        <v>23</v>
      </c>
      <c r="D4" s="46"/>
      <c r="E4" s="46"/>
    </row>
    <row r="6" spans="1:5" x14ac:dyDescent="0.45">
      <c r="A6" s="1" t="s">
        <v>8</v>
      </c>
      <c r="B6" s="3" t="s">
        <v>9</v>
      </c>
      <c r="C6" s="3" t="s">
        <v>32</v>
      </c>
      <c r="D6" s="3" t="s">
        <v>28</v>
      </c>
      <c r="E6" s="34" t="s">
        <v>24</v>
      </c>
    </row>
    <row r="7" spans="1:5" x14ac:dyDescent="0.45">
      <c r="A7" s="37"/>
      <c r="B7" s="36"/>
      <c r="C7" s="36"/>
      <c r="D7" s="36"/>
      <c r="E7" s="39"/>
    </row>
  </sheetData>
  <mergeCells count="2">
    <mergeCell ref="C3:D3"/>
    <mergeCell ref="C4:E4"/>
  </mergeCells>
  <dataValidations count="1">
    <dataValidation type="list" allowBlank="1" showInputMessage="1" showErrorMessage="1" sqref="C4:E4">
      <formula1>TASK_VALIDATION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"/>
  <sheetViews>
    <sheetView workbookViewId="0">
      <selection activeCell="I5" sqref="I5:I23"/>
    </sheetView>
  </sheetViews>
  <sheetFormatPr defaultColWidth="8.83203125" defaultRowHeight="14" x14ac:dyDescent="0.45"/>
  <cols>
    <col min="1" max="1" width="11" bestFit="1" customWidth="1"/>
    <col min="2" max="2" width="10.6640625" bestFit="1" customWidth="1"/>
    <col min="3" max="3" width="10.6640625" customWidth="1"/>
    <col min="4" max="4" width="12.21875" bestFit="1" customWidth="1"/>
    <col min="5" max="5" width="15.88671875" bestFit="1" customWidth="1"/>
    <col min="6" max="6" width="18.1640625" bestFit="1" customWidth="1"/>
    <col min="7" max="7" width="38.94140625" bestFit="1" customWidth="1"/>
    <col min="9" max="9" width="38.94140625" bestFit="1" customWidth="1"/>
  </cols>
  <sheetData>
    <row r="1" spans="1:9" x14ac:dyDescent="0.45">
      <c r="A1" s="1" t="s">
        <v>16</v>
      </c>
      <c r="B1" s="34" t="s">
        <v>17</v>
      </c>
      <c r="D1" s="1" t="s">
        <v>8</v>
      </c>
      <c r="E1" s="3" t="s">
        <v>9</v>
      </c>
      <c r="F1" s="3" t="s">
        <v>10</v>
      </c>
      <c r="G1" s="34" t="s">
        <v>18</v>
      </c>
      <c r="I1" s="35" t="s">
        <v>18</v>
      </c>
    </row>
    <row r="2" spans="1:9" x14ac:dyDescent="0.45">
      <c r="A2" s="37" t="s">
        <v>13</v>
      </c>
      <c r="B2" s="38">
        <f ca="1">TODAY()</f>
        <v>42620</v>
      </c>
      <c r="C2" s="5"/>
      <c r="D2" s="44"/>
      <c r="E2" s="45"/>
      <c r="F2" s="39" t="s">
        <v>43</v>
      </c>
      <c r="G2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//a. Operation;</v>
      </c>
      <c r="I2" s="40" t="s">
        <v>22</v>
      </c>
    </row>
    <row r="3" spans="1:9" x14ac:dyDescent="0.45">
      <c r="A3" s="37" t="s">
        <v>14</v>
      </c>
      <c r="B3" s="41">
        <v>0</v>
      </c>
      <c r="C3" s="6"/>
      <c r="D3" s="44"/>
      <c r="E3" s="45"/>
      <c r="F3" s="39" t="s">
        <v>60</v>
      </c>
      <c r="G3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//a. Preparation;</v>
      </c>
      <c r="I3" s="40" t="s">
        <v>35</v>
      </c>
    </row>
    <row r="4" spans="1:9" x14ac:dyDescent="0.45">
      <c r="A4" s="37" t="s">
        <v>15</v>
      </c>
      <c r="B4" s="41">
        <v>0</v>
      </c>
      <c r="C4" s="6"/>
      <c r="D4" s="44"/>
      <c r="E4" s="45"/>
      <c r="F4" s="39" t="s">
        <v>37</v>
      </c>
      <c r="G4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//a. Research;</v>
      </c>
      <c r="I4" s="32" t="s">
        <v>23</v>
      </c>
    </row>
    <row r="5" spans="1:9" x14ac:dyDescent="0.45">
      <c r="A5" s="37" t="s">
        <v>25</v>
      </c>
      <c r="B5" s="42">
        <v>0</v>
      </c>
      <c r="C5" s="16"/>
      <c r="D5" s="44"/>
      <c r="E5" s="45"/>
      <c r="F5" s="39" t="s">
        <v>37</v>
      </c>
      <c r="G5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//a. Research;</v>
      </c>
      <c r="I5" s="40" t="s">
        <v>48</v>
      </c>
    </row>
    <row r="6" spans="1:9" x14ac:dyDescent="0.45">
      <c r="A6" s="33" t="s">
        <v>26</v>
      </c>
      <c r="B6" s="43">
        <v>0.99930555555555556</v>
      </c>
      <c r="C6" s="16"/>
      <c r="D6" s="44"/>
      <c r="E6" s="45"/>
      <c r="F6" s="39" t="s">
        <v>46</v>
      </c>
      <c r="G6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//b. Data Preparation;</v>
      </c>
      <c r="I6" s="40" t="s">
        <v>63</v>
      </c>
    </row>
    <row r="7" spans="1:9" x14ac:dyDescent="0.45">
      <c r="D7" s="44"/>
      <c r="E7" s="45"/>
      <c r="F7" s="39" t="s">
        <v>47</v>
      </c>
      <c r="G7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//b. Implementation;</v>
      </c>
      <c r="I7" s="40" t="s">
        <v>49</v>
      </c>
    </row>
    <row r="8" spans="1:9" x14ac:dyDescent="0.45">
      <c r="D8" s="44"/>
      <c r="E8" s="45"/>
      <c r="F8" s="39" t="s">
        <v>45</v>
      </c>
      <c r="G8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//b. Maintainence;</v>
      </c>
      <c r="I8" s="40" t="s">
        <v>49</v>
      </c>
    </row>
    <row r="9" spans="1:9" x14ac:dyDescent="0.45">
      <c r="D9" s="44"/>
      <c r="E9" s="45"/>
      <c r="F9" s="39" t="s">
        <v>44</v>
      </c>
      <c r="G9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//c. Change Request;</v>
      </c>
      <c r="I9" s="40" t="s">
        <v>50</v>
      </c>
    </row>
    <row r="10" spans="1:9" x14ac:dyDescent="0.45">
      <c r="D10" s="44"/>
      <c r="E10" s="45"/>
      <c r="F10" s="39" t="s">
        <v>38</v>
      </c>
      <c r="G10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//c. Solution Development;</v>
      </c>
      <c r="I10" s="40" t="s">
        <v>51</v>
      </c>
    </row>
    <row r="11" spans="1:9" x14ac:dyDescent="0.45">
      <c r="D11" s="44"/>
      <c r="E11" s="45"/>
      <c r="F11" s="39" t="s">
        <v>39</v>
      </c>
      <c r="G11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//d. Documentation;</v>
      </c>
      <c r="I11" s="40" t="s">
        <v>52</v>
      </c>
    </row>
    <row r="12" spans="1:9" x14ac:dyDescent="0.45">
      <c r="D12" s="44"/>
      <c r="E12" s="45"/>
      <c r="F12" s="39" t="s">
        <v>40</v>
      </c>
      <c r="G12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//e. Follow-up;</v>
      </c>
      <c r="I12" s="40" t="s">
        <v>53</v>
      </c>
    </row>
    <row r="13" spans="1:9" x14ac:dyDescent="0.45">
      <c r="D13" s="44"/>
      <c r="E13" s="45"/>
      <c r="F13" s="39" t="s">
        <v>41</v>
      </c>
      <c r="G13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//z1. Communication;</v>
      </c>
      <c r="I13" s="40" t="s">
        <v>54</v>
      </c>
    </row>
    <row r="14" spans="1:9" x14ac:dyDescent="0.45">
      <c r="D14" s="44"/>
      <c r="E14" s="45"/>
      <c r="F14" s="39" t="s">
        <v>41</v>
      </c>
      <c r="G14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//z1. Communication;</v>
      </c>
      <c r="I14" s="40" t="s">
        <v>55</v>
      </c>
    </row>
    <row r="15" spans="1:9" x14ac:dyDescent="0.45">
      <c r="D15" s="44"/>
      <c r="E15" s="45"/>
      <c r="F15" s="39" t="s">
        <v>41</v>
      </c>
      <c r="G15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//z1. Communication;</v>
      </c>
      <c r="I15" s="40" t="s">
        <v>56</v>
      </c>
    </row>
    <row r="16" spans="1:9" x14ac:dyDescent="0.45">
      <c r="D16" s="44"/>
      <c r="E16" s="45"/>
      <c r="F16" s="39" t="s">
        <v>41</v>
      </c>
      <c r="G16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//z1. Communication;</v>
      </c>
      <c r="I16" s="40" t="s">
        <v>57</v>
      </c>
    </row>
    <row r="17" spans="4:9" x14ac:dyDescent="0.45">
      <c r="D17" s="44"/>
      <c r="E17" s="45"/>
      <c r="F17" s="31" t="s">
        <v>42</v>
      </c>
      <c r="G17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//z2. Admin;</v>
      </c>
      <c r="I17" s="40" t="s">
        <v>57</v>
      </c>
    </row>
    <row r="18" spans="4:9" x14ac:dyDescent="0.45">
      <c r="D18" s="44"/>
      <c r="E18" s="45"/>
      <c r="F18" s="31" t="s">
        <v>42</v>
      </c>
      <c r="G18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//z2. Admin;</v>
      </c>
      <c r="I18" s="40" t="s">
        <v>57</v>
      </c>
    </row>
    <row r="19" spans="4:9" x14ac:dyDescent="0.45">
      <c r="D19" s="44"/>
      <c r="E19" s="45"/>
      <c r="F19" s="31" t="s">
        <v>42</v>
      </c>
      <c r="G19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//z2. Admin;</v>
      </c>
      <c r="I19" s="40" t="s">
        <v>57</v>
      </c>
    </row>
    <row r="20" spans="4:9" x14ac:dyDescent="0.45">
      <c r="D20" s="44"/>
      <c r="E20" s="45"/>
      <c r="F20" s="31" t="s">
        <v>42</v>
      </c>
      <c r="G20" s="38" t="str">
        <f>TABLE_TASK_ADDED[[#This Row],[Project Type]] &amp; "/" &amp;TABLE_TASK_ADDED[[#This Row],[Project Code]] &amp; "/" &amp; IF(TABLE_TASK_ADDED[[#This Row],[Project Status]] = "", "", TABLE_TASK_ADDED[[#This Row],[Project Status]] &amp; ";")</f>
        <v>//z2. Admin;</v>
      </c>
      <c r="I20" s="40" t="s">
        <v>58</v>
      </c>
    </row>
    <row r="21" spans="4:9" x14ac:dyDescent="0.45">
      <c r="I21" s="40" t="s">
        <v>58</v>
      </c>
    </row>
    <row r="22" spans="4:9" x14ac:dyDescent="0.45">
      <c r="I22" s="40" t="s">
        <v>58</v>
      </c>
    </row>
    <row r="23" spans="4:9" x14ac:dyDescent="0.45">
      <c r="I23" s="40" t="s">
        <v>58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4"/>
  <sheetViews>
    <sheetView workbookViewId="0">
      <selection activeCell="E12" sqref="E12"/>
    </sheetView>
  </sheetViews>
  <sheetFormatPr defaultColWidth="10.6640625" defaultRowHeight="14" x14ac:dyDescent="0.45"/>
  <cols>
    <col min="1" max="1" width="9.83203125" bestFit="1" customWidth="1"/>
    <col min="2" max="2" width="7.83203125" bestFit="1" customWidth="1"/>
    <col min="8" max="8" width="22" bestFit="1" customWidth="1"/>
    <col min="9" max="9" width="10.33203125" bestFit="1" customWidth="1"/>
    <col min="11" max="11" width="11.1640625" bestFit="1" customWidth="1"/>
  </cols>
  <sheetData>
    <row r="3" spans="1:12" x14ac:dyDescent="0.45">
      <c r="A3" s="1" t="s">
        <v>0</v>
      </c>
      <c r="B3" s="2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</v>
      </c>
      <c r="J3" s="2" t="s">
        <v>9</v>
      </c>
      <c r="K3" s="2" t="s">
        <v>10</v>
      </c>
      <c r="L3" s="4" t="s">
        <v>11</v>
      </c>
    </row>
    <row r="4" spans="1:12" x14ac:dyDescent="0.45">
      <c r="A4" s="11"/>
      <c r="B4" s="18" t="str">
        <f>TEXT(TABLE_SOURCE[[#This Row],[Date]], "dddd")</f>
        <v>Saturday</v>
      </c>
      <c r="C4" s="15"/>
      <c r="D4" s="15"/>
      <c r="E4" s="19">
        <f>TABLE_SOURCE[[#This Row],[End]]-TABLE_SOURCE[[#This Row],[Start]]</f>
        <v>0</v>
      </c>
      <c r="F4" s="18" t="str">
        <f>"Week " &amp; INT((TABLE_SOURCE[[#This Row],[Date]]-USER_INIT_TIME)/7) + 1</f>
        <v>Week -6088</v>
      </c>
      <c r="G4" s="20" t="str">
        <f>YEAR(TABLE_SOURCE[Date]) &amp; "-" &amp; MONTH(TABLE_SOURCE[Date])</f>
        <v>1900-1</v>
      </c>
      <c r="H4" s="12"/>
      <c r="I4" s="20">
        <f>IF(ISERROR(FIND("/",TABLE_SOURCE[Task])),H4,MID(TABLE_SOURCE[Task],1,FIND("/",TABLE_SOURCE[Task])-1))</f>
        <v>0</v>
      </c>
      <c r="J4" s="20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20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14"/>
    </row>
  </sheetData>
  <dataValidations count="1">
    <dataValidation type="list" allowBlank="1" showInputMessage="1" showErrorMessage="1" sqref="H4">
      <formula1>TASK_VALIDATION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workbookViewId="0">
      <selection activeCell="G14" sqref="G14"/>
    </sheetView>
  </sheetViews>
  <sheetFormatPr defaultColWidth="8.83203125" defaultRowHeight="14" x14ac:dyDescent="0.45"/>
  <cols>
    <col min="1" max="1" width="9.6640625" bestFit="1" customWidth="1"/>
    <col min="2" max="2" width="15.1640625" bestFit="1" customWidth="1"/>
    <col min="4" max="4" width="12.21875" bestFit="1" customWidth="1"/>
    <col min="5" max="5" width="18.1640625" bestFit="1" customWidth="1"/>
    <col min="7" max="7" width="21.27734375" bestFit="1" customWidth="1"/>
  </cols>
  <sheetData>
    <row r="1" spans="1:10" x14ac:dyDescent="0.45">
      <c r="A1" s="30" t="s">
        <v>33</v>
      </c>
      <c r="B1" s="30"/>
      <c r="D1" s="30" t="s">
        <v>34</v>
      </c>
      <c r="E1" s="30"/>
      <c r="G1" t="s">
        <v>36</v>
      </c>
    </row>
    <row r="2" spans="1:10" x14ac:dyDescent="0.45">
      <c r="A2" s="1" t="s">
        <v>16</v>
      </c>
      <c r="B2" s="34" t="s">
        <v>17</v>
      </c>
      <c r="D2" s="1" t="s">
        <v>8</v>
      </c>
      <c r="E2" s="34" t="s">
        <v>10</v>
      </c>
      <c r="G2" s="35" t="s">
        <v>18</v>
      </c>
    </row>
    <row r="3" spans="1:10" x14ac:dyDescent="0.45">
      <c r="A3" s="37" t="s">
        <v>12</v>
      </c>
      <c r="B3" s="38">
        <v>42617</v>
      </c>
      <c r="D3" s="37" t="s">
        <v>30</v>
      </c>
      <c r="E3" s="39" t="s">
        <v>37</v>
      </c>
      <c r="G3" s="40" t="s">
        <v>22</v>
      </c>
    </row>
    <row r="4" spans="1:10" x14ac:dyDescent="0.45">
      <c r="A4" s="37" t="s">
        <v>19</v>
      </c>
      <c r="B4" s="39" t="s">
        <v>21</v>
      </c>
      <c r="D4" s="37" t="s">
        <v>30</v>
      </c>
      <c r="E4" s="39" t="s">
        <v>46</v>
      </c>
      <c r="G4" s="40" t="s">
        <v>35</v>
      </c>
    </row>
    <row r="5" spans="1:10" x14ac:dyDescent="0.45">
      <c r="A5" s="33" t="s">
        <v>20</v>
      </c>
      <c r="B5" s="31" t="s">
        <v>27</v>
      </c>
      <c r="D5" s="37" t="s">
        <v>30</v>
      </c>
      <c r="E5" s="39" t="s">
        <v>38</v>
      </c>
      <c r="G5" s="32" t="s">
        <v>23</v>
      </c>
    </row>
    <row r="6" spans="1:10" x14ac:dyDescent="0.45">
      <c r="D6" s="37" t="s">
        <v>30</v>
      </c>
      <c r="E6" s="39" t="s">
        <v>39</v>
      </c>
    </row>
    <row r="7" spans="1:10" x14ac:dyDescent="0.45">
      <c r="D7" s="37" t="s">
        <v>30</v>
      </c>
      <c r="E7" s="39" t="s">
        <v>40</v>
      </c>
    </row>
    <row r="8" spans="1:10" x14ac:dyDescent="0.45">
      <c r="D8" s="37" t="s">
        <v>30</v>
      </c>
      <c r="E8" s="39" t="s">
        <v>41</v>
      </c>
    </row>
    <row r="9" spans="1:10" x14ac:dyDescent="0.45">
      <c r="D9" s="37" t="s">
        <v>30</v>
      </c>
      <c r="E9" s="39" t="s">
        <v>42</v>
      </c>
    </row>
    <row r="10" spans="1:10" x14ac:dyDescent="0.45">
      <c r="D10" s="37" t="s">
        <v>31</v>
      </c>
      <c r="E10" s="39" t="s">
        <v>43</v>
      </c>
    </row>
    <row r="11" spans="1:10" x14ac:dyDescent="0.45">
      <c r="D11" s="37" t="s">
        <v>31</v>
      </c>
      <c r="E11" s="39" t="s">
        <v>45</v>
      </c>
    </row>
    <row r="12" spans="1:10" x14ac:dyDescent="0.45">
      <c r="D12" s="37" t="s">
        <v>31</v>
      </c>
      <c r="E12" s="39" t="s">
        <v>44</v>
      </c>
      <c r="I12" t="s">
        <v>30</v>
      </c>
      <c r="J12" t="str">
        <f>VLOOKUP(I12,TABLE_TASK_STATUS[Project Type], 1,FALSE )</f>
        <v>PoC</v>
      </c>
    </row>
    <row r="13" spans="1:10" x14ac:dyDescent="0.45">
      <c r="D13" s="37" t="s">
        <v>31</v>
      </c>
      <c r="E13" s="39" t="s">
        <v>41</v>
      </c>
      <c r="I13" t="s">
        <v>64</v>
      </c>
    </row>
    <row r="14" spans="1:10" x14ac:dyDescent="0.45">
      <c r="D14" s="37" t="s">
        <v>31</v>
      </c>
      <c r="E14" s="39" t="s">
        <v>42</v>
      </c>
    </row>
    <row r="15" spans="1:10" x14ac:dyDescent="0.45">
      <c r="D15" s="37" t="s">
        <v>29</v>
      </c>
      <c r="E15" s="39" t="s">
        <v>37</v>
      </c>
    </row>
    <row r="16" spans="1:10" x14ac:dyDescent="0.45">
      <c r="D16" s="37" t="s">
        <v>29</v>
      </c>
      <c r="E16" s="39" t="s">
        <v>47</v>
      </c>
    </row>
    <row r="17" spans="4:5" x14ac:dyDescent="0.45">
      <c r="D17" s="37" t="s">
        <v>29</v>
      </c>
      <c r="E17" s="39" t="s">
        <v>41</v>
      </c>
    </row>
    <row r="18" spans="4:5" x14ac:dyDescent="0.45">
      <c r="D18" s="33" t="s">
        <v>29</v>
      </c>
      <c r="E18" s="31" t="s">
        <v>42</v>
      </c>
    </row>
    <row r="19" spans="4:5" x14ac:dyDescent="0.45">
      <c r="D19" s="33" t="s">
        <v>59</v>
      </c>
      <c r="E19" s="31" t="s">
        <v>60</v>
      </c>
    </row>
    <row r="20" spans="4:5" x14ac:dyDescent="0.45">
      <c r="D20" s="33" t="s">
        <v>59</v>
      </c>
      <c r="E20" s="31" t="s">
        <v>41</v>
      </c>
    </row>
    <row r="21" spans="4:5" x14ac:dyDescent="0.45">
      <c r="D21" s="33" t="s">
        <v>59</v>
      </c>
      <c r="E21" s="31" t="s">
        <v>42</v>
      </c>
    </row>
  </sheetData>
  <mergeCells count="2">
    <mergeCell ref="A1:B1"/>
    <mergeCell ref="D1:E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7" sqref="F7"/>
    </sheetView>
  </sheetViews>
  <sheetFormatPr defaultColWidth="8.83203125" defaultRowHeight="14" x14ac:dyDescent="0.45"/>
  <cols>
    <col min="1" max="1" width="8.886718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451C-70FB-485C-9FD6-074453E8F7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Input Page</vt:lpstr>
      <vt:lpstr>Task Lists</vt:lpstr>
      <vt:lpstr>System Variables</vt:lpstr>
      <vt:lpstr>Timesheet</vt:lpstr>
      <vt:lpstr>Settings</vt:lpstr>
      <vt:lpstr>Overview</vt:lpstr>
      <vt:lpstr>SYS_DATE</vt:lpstr>
      <vt:lpstr>SYS_TIME_END</vt:lpstr>
      <vt:lpstr>SYS_TIME_REC_CURR</vt:lpstr>
      <vt:lpstr>SYS_TIME_REC_INIT</vt:lpstr>
      <vt:lpstr>SYS_TIME_START</vt:lpstr>
      <vt:lpstr>TASK_VALIDATION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2016-09-07T10:15:14Z</dcterms:modified>
</cp:coreProperties>
</file>