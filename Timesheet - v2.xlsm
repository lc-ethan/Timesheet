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ceth\Dropbox\Working Space\General\Tools\Productivity\Timesheet\"/>
    </mc:Choice>
  </mc:AlternateContent>
  <bookViews>
    <workbookView xWindow="0" yWindow="0" windowWidth="13335" windowHeight="7500" activeTab="3"/>
  </bookViews>
  <sheets>
    <sheet name="Input Page" sheetId="1" r:id="rId1"/>
    <sheet name="Task Lists" sheetId="7" r:id="rId2"/>
    <sheet name="System Variables" sheetId="3" state="hidden" r:id="rId3"/>
    <sheet name="Timesheet" sheetId="2" r:id="rId4"/>
    <sheet name="Settings" sheetId="4" r:id="rId5"/>
    <sheet name="Overview" sheetId="5" r:id="rId6"/>
  </sheets>
  <functionGroups builtInGroupCount="18"/>
  <externalReferences>
    <externalReference r:id="rId7"/>
  </externalReferences>
  <definedNames>
    <definedName name="BOOLEAN_VALIDATION">TABLE_PARAM_SYS_DROPDOWN_LOC[]</definedName>
    <definedName name="INITIAL_DATE">'[1]Task List'!$D$2</definedName>
    <definedName name="_xlnm.Print_Area" localSheetId="0">'Input Page'!$E$18</definedName>
    <definedName name="SYS_DATE">'System Variables'!$B$2</definedName>
    <definedName name="SYS_TIME_END">'System Variables'!$B$6</definedName>
    <definedName name="SYS_TIME_REC_CURR">'System Variables'!$B$4</definedName>
    <definedName name="SYS_TIME_REC_INIT">'System Variables'!$B$3</definedName>
    <definedName name="SYS_TIME_START">'System Variables'!$B$5</definedName>
    <definedName name="TASK_VALIDATION_ACTIVE">TABLE_PARAM_SYS_TASK_VALID_ACTIVE[]</definedName>
    <definedName name="TASK_VALIDATION_FULL">TABLE_PARAM_SYS_TASK_VALID_FULL[]</definedName>
    <definedName name="USER_COMPANY">Settings!$B$7</definedName>
    <definedName name="USER_INIT_TIME">Settings!$B$5</definedName>
    <definedName name="USER_NAME">Settings!$B$6</definedName>
  </definedNames>
  <calcPr calcId="17102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3" l="1"/>
  <c r="G3" i="3"/>
  <c r="G4" i="3"/>
  <c r="F5" i="2" l="1"/>
  <c r="G3" i="1"/>
  <c r="G1" i="1"/>
  <c r="B2" i="3"/>
  <c r="B1" i="1" s="1"/>
  <c r="K5" i="2"/>
  <c r="J5" i="2"/>
  <c r="I5" i="2"/>
  <c r="G5" i="2"/>
  <c r="E5" i="2"/>
  <c r="B5" i="2"/>
  <c r="A1" i="1" l="1"/>
  <c r="B3" i="1"/>
</calcChain>
</file>

<file path=xl/comments1.xml><?xml version="1.0" encoding="utf-8"?>
<comments xmlns="http://schemas.openxmlformats.org/spreadsheetml/2006/main">
  <authors>
    <author>Ethan Li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>Ethan Li:</t>
        </r>
        <r>
          <rPr>
            <sz val="9"/>
            <color indexed="81"/>
            <rFont val="Tahoma"/>
            <family val="2"/>
          </rPr>
          <t xml:space="preserve">
If the project is not one-off, the budgeted hours will be hours per week</t>
        </r>
      </text>
    </comment>
  </commentList>
</comments>
</file>

<file path=xl/sharedStrings.xml><?xml version="1.0" encoding="utf-8"?>
<sst xmlns="http://schemas.openxmlformats.org/spreadsheetml/2006/main" count="114" uniqueCount="59">
  <si>
    <t>Date</t>
  </si>
  <si>
    <t>DoW</t>
  </si>
  <si>
    <t>Start</t>
  </si>
  <si>
    <t>End</t>
  </si>
  <si>
    <t>Duration</t>
  </si>
  <si>
    <t>Week</t>
  </si>
  <si>
    <t>Month</t>
  </si>
  <si>
    <t>Task</t>
  </si>
  <si>
    <t>Project Type</t>
  </si>
  <si>
    <t>Project Code</t>
  </si>
  <si>
    <t>Project Status</t>
  </si>
  <si>
    <t>Comment</t>
  </si>
  <si>
    <t>Start Date</t>
  </si>
  <si>
    <t>Current Date</t>
  </si>
  <si>
    <t>Initial Time</t>
  </si>
  <si>
    <t>Tracked Time</t>
  </si>
  <si>
    <t>Variable</t>
  </si>
  <si>
    <t>Value</t>
  </si>
  <si>
    <t>Task List</t>
  </si>
  <si>
    <t>Owner</t>
  </si>
  <si>
    <t>Company</t>
  </si>
  <si>
    <t>Ethan Li</t>
  </si>
  <si>
    <t>Delete</t>
  </si>
  <si>
    <t>Start Time</t>
  </si>
  <si>
    <t>End Time</t>
  </si>
  <si>
    <t>Budgeted Hours</t>
  </si>
  <si>
    <t>Ad-hoc</t>
  </si>
  <si>
    <t>PoC</t>
  </si>
  <si>
    <t>BAU</t>
  </si>
  <si>
    <t>One-off</t>
  </si>
  <si>
    <t>User Information:</t>
  </si>
  <si>
    <t>Project Settings:</t>
  </si>
  <si>
    <t>a. Research</t>
  </si>
  <si>
    <t>c. Solution Development</t>
  </si>
  <si>
    <t>d. Documentation</t>
  </si>
  <si>
    <t>e. Follow-up</t>
  </si>
  <si>
    <t>z1. Communication</t>
  </si>
  <si>
    <t>z2. Admin</t>
  </si>
  <si>
    <t>b. Data Preparation</t>
  </si>
  <si>
    <t>b. Implementation</t>
  </si>
  <si>
    <t>BD</t>
  </si>
  <si>
    <t>a. Preparation</t>
  </si>
  <si>
    <t>Task Validations:</t>
  </si>
  <si>
    <t>Homepage</t>
  </si>
  <si>
    <t>General</t>
  </si>
  <si>
    <t>Internal Meeting</t>
  </si>
  <si>
    <t>Admin</t>
  </si>
  <si>
    <t>Break</t>
  </si>
  <si>
    <t>General/Admin/</t>
  </si>
  <si>
    <t>General/Break/</t>
  </si>
  <si>
    <t>General/Internal Meeting/</t>
  </si>
  <si>
    <t>Spark Connect</t>
  </si>
  <si>
    <t>Active</t>
  </si>
  <si>
    <t>Selection Validation</t>
  </si>
  <si>
    <t>Source Data:</t>
  </si>
  <si>
    <t>a. Learning</t>
  </si>
  <si>
    <t>b. Operation</t>
  </si>
  <si>
    <t>c. Maintainence</t>
  </si>
  <si>
    <t>d. Change 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</si>
</sst>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"/>
  </numFmts>
  <fonts count="11" x14ac:knownFonts="1">
    <font>
      <sz val="11"/>
      <color theme="1"/>
      <name val="Tw Cen MT"/>
      <family val="2"/>
      <scheme val="minor"/>
    </font>
    <font>
      <b/>
      <sz val="14"/>
      <color theme="0"/>
      <name val="Tw Cen MT"/>
      <family val="2"/>
      <scheme val="minor"/>
    </font>
    <font>
      <b/>
      <sz val="11"/>
      <color theme="4"/>
      <name val="Tw Cen MT"/>
      <family val="2"/>
      <scheme val="minor"/>
    </font>
    <font>
      <b/>
      <sz val="20"/>
      <color theme="4"/>
      <name val="Tw Cen MT"/>
      <family val="2"/>
      <scheme val="minor"/>
    </font>
    <font>
      <sz val="9"/>
      <color theme="1"/>
      <name val="Tw Cen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Tw Cen MT"/>
      <family val="2"/>
      <scheme val="minor"/>
    </font>
    <font>
      <u/>
      <sz val="9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u/>
      <sz val="14"/>
      <color theme="4"/>
      <name val="Tw Cen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3" xfId="0" applyBorder="1" applyAlignment="1">
      <alignment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4" xfId="0" applyFont="1" applyBorder="1" applyAlignment="1">
      <alignment horizontal="left" wrapText="1"/>
    </xf>
    <xf numFmtId="18" fontId="0" fillId="0" borderId="0" xfId="0" applyNumberFormat="1"/>
    <xf numFmtId="2" fontId="0" fillId="0" borderId="0" xfId="0" applyNumberFormat="1"/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14" fontId="0" fillId="0" borderId="8" xfId="0" applyNumberFormat="1" applyBorder="1"/>
    <xf numFmtId="0" fontId="0" fillId="0" borderId="8" xfId="0" applyBorder="1"/>
    <xf numFmtId="0" fontId="0" fillId="0" borderId="11" xfId="0" applyBorder="1"/>
    <xf numFmtId="164" fontId="0" fillId="0" borderId="8" xfId="0" applyNumberFormat="1" applyBorder="1"/>
    <xf numFmtId="18" fontId="0" fillId="0" borderId="8" xfId="0" applyNumberFormat="1" applyBorder="1"/>
    <xf numFmtId="18" fontId="0" fillId="0" borderId="9" xfId="0" applyNumberFormat="1" applyBorder="1"/>
    <xf numFmtId="14" fontId="0" fillId="0" borderId="7" xfId="0" applyNumberFormat="1" applyBorder="1"/>
    <xf numFmtId="14" fontId="0" fillId="0" borderId="4" xfId="0" applyNumberFormat="1" applyBorder="1"/>
    <xf numFmtId="14" fontId="4" fillId="0" borderId="7" xfId="0" applyNumberFormat="1" applyFont="1" applyBorder="1" applyAlignment="1">
      <alignment horizontal="left" vertical="center"/>
    </xf>
    <xf numFmtId="18" fontId="4" fillId="0" borderId="4" xfId="0" applyNumberFormat="1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5" xfId="0" applyBorder="1"/>
    <xf numFmtId="0" fontId="8" fillId="0" borderId="4" xfId="0" applyNumberFormat="1" applyFont="1" applyBorder="1" applyAlignment="1">
      <alignment horizontal="left" vertical="center"/>
    </xf>
    <xf numFmtId="20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right" vertical="center"/>
    </xf>
    <xf numFmtId="0" fontId="1" fillId="2" borderId="6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0" borderId="5" xfId="0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/>
    </xf>
    <xf numFmtId="0" fontId="10" fillId="0" borderId="0" xfId="1" applyFont="1" applyAlignment="1">
      <alignment horizontal="left"/>
    </xf>
  </cellXfs>
  <cellStyles count="2">
    <cellStyle name="Hyperlink" xfId="1" builtinId="8"/>
    <cellStyle name="Normal" xfId="0" builtinId="0"/>
  </cellStyles>
  <dxfs count="8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/>
        <vertAlign val="baseline"/>
        <sz val="9"/>
        <color theme="1"/>
        <name val="Tw Cen MT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9" formatCode="d/mm/yyyy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65" formatCode="d/mm/yy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</dxf>
    <dxf>
      <border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ttings!A1"/><Relationship Id="rId2" Type="http://schemas.openxmlformats.org/officeDocument/2006/relationships/hyperlink" Target="#Timesheet!A1"/><Relationship Id="rId1" Type="http://schemas.openxmlformats.org/officeDocument/2006/relationships/hyperlink" Target="#'Task Lis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13586</xdr:colOff>
      <xdr:row>8</xdr:row>
      <xdr:rowOff>16167</xdr:rowOff>
    </xdr:from>
    <xdr:to>
      <xdr:col>0</xdr:col>
      <xdr:colOff>697881</xdr:colOff>
      <xdr:row>10</xdr:row>
      <xdr:rowOff>6325</xdr:rowOff>
    </xdr:to>
    <xdr:sp macro="[0]!TRACK_START" textlink="">
      <xdr:nvSpPr>
        <xdr:cNvPr id="27" name="Rectangle: Rounded Corners 26"/>
        <xdr:cNvSpPr/>
      </xdr:nvSpPr>
      <xdr:spPr>
        <a:xfrm>
          <a:off x="13586" y="2020558"/>
          <a:ext cx="685952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START</a:t>
          </a:r>
        </a:p>
      </xdr:txBody>
    </xdr:sp>
    <xdr:clientData/>
  </xdr:twoCellAnchor>
  <xdr:twoCellAnchor editAs="absolute">
    <xdr:from>
      <xdr:col>1</xdr:col>
      <xdr:colOff>308861</xdr:colOff>
      <xdr:row>8</xdr:row>
      <xdr:rowOff>16167</xdr:rowOff>
    </xdr:from>
    <xdr:to>
      <xdr:col>2</xdr:col>
      <xdr:colOff>307356</xdr:colOff>
      <xdr:row>10</xdr:row>
      <xdr:rowOff>6325</xdr:rowOff>
    </xdr:to>
    <xdr:sp macro="[0]!TRACK_END" textlink="">
      <xdr:nvSpPr>
        <xdr:cNvPr id="28" name="Rectangle: Rounded Corners 27"/>
        <xdr:cNvSpPr/>
      </xdr:nvSpPr>
      <xdr:spPr>
        <a:xfrm>
          <a:off x="1024893" y="2020558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END</a:t>
          </a:r>
        </a:p>
      </xdr:txBody>
    </xdr:sp>
    <xdr:clientData/>
  </xdr:twoCellAnchor>
  <xdr:twoCellAnchor editAs="absolute">
    <xdr:from>
      <xdr:col>2</xdr:col>
      <xdr:colOff>649291</xdr:colOff>
      <xdr:row>8</xdr:row>
      <xdr:rowOff>6642</xdr:rowOff>
    </xdr:from>
    <xdr:to>
      <xdr:col>3</xdr:col>
      <xdr:colOff>650255</xdr:colOff>
      <xdr:row>9</xdr:row>
      <xdr:rowOff>171425</xdr:rowOff>
    </xdr:to>
    <xdr:sp macro="[0]!LOG_MANIPULATION.ADD_ENTRY" textlink="">
      <xdr:nvSpPr>
        <xdr:cNvPr id="29" name="Rectangle: Rounded Corners 28"/>
        <xdr:cNvSpPr/>
      </xdr:nvSpPr>
      <xdr:spPr>
        <a:xfrm>
          <a:off x="2055249" y="2011033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NEW</a:t>
          </a:r>
        </a:p>
      </xdr:txBody>
    </xdr:sp>
    <xdr:clientData/>
  </xdr:twoCellAnchor>
  <xdr:twoCellAnchor editAs="absolute">
    <xdr:from>
      <xdr:col>3</xdr:col>
      <xdr:colOff>1019514</xdr:colOff>
      <xdr:row>8</xdr:row>
      <xdr:rowOff>1669</xdr:rowOff>
    </xdr:from>
    <xdr:to>
      <xdr:col>3</xdr:col>
      <xdr:colOff>1705465</xdr:colOff>
      <xdr:row>9</xdr:row>
      <xdr:rowOff>166452</xdr:rowOff>
    </xdr:to>
    <xdr:sp macro="[0]!CLEAR_ALL" textlink="">
      <xdr:nvSpPr>
        <xdr:cNvPr id="30" name="Rectangle: Rounded Corners 29"/>
        <xdr:cNvSpPr/>
      </xdr:nvSpPr>
      <xdr:spPr>
        <a:xfrm>
          <a:off x="3110459" y="2006060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</a:t>
          </a:r>
        </a:p>
      </xdr:txBody>
    </xdr:sp>
    <xdr:clientData/>
  </xdr:twoCellAnchor>
  <xdr:twoCellAnchor editAs="absolute">
    <xdr:from>
      <xdr:col>5</xdr:col>
      <xdr:colOff>327581</xdr:colOff>
      <xdr:row>8</xdr:row>
      <xdr:rowOff>5</xdr:rowOff>
    </xdr:from>
    <xdr:to>
      <xdr:col>5</xdr:col>
      <xdr:colOff>672551</xdr:colOff>
      <xdr:row>9</xdr:row>
      <xdr:rowOff>173939</xdr:rowOff>
    </xdr:to>
    <xdr:sp macro="[0]!LOG_INPUT" textlink="">
      <xdr:nvSpPr>
        <xdr:cNvPr id="32" name="Oval 31"/>
        <xdr:cNvSpPr/>
      </xdr:nvSpPr>
      <xdr:spPr>
        <a:xfrm>
          <a:off x="6344482" y="1457744"/>
          <a:ext cx="356152" cy="356152"/>
        </a:xfrm>
        <a:prstGeom prst="ellips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L</a:t>
          </a:r>
        </a:p>
      </xdr:txBody>
    </xdr:sp>
    <xdr:clientData/>
  </xdr:twoCellAnchor>
  <xdr:twoCellAnchor>
    <xdr:from>
      <xdr:col>0</xdr:col>
      <xdr:colOff>0</xdr:colOff>
      <xdr:row>4</xdr:row>
      <xdr:rowOff>107672</xdr:rowOff>
    </xdr:from>
    <xdr:to>
      <xdr:col>1</xdr:col>
      <xdr:colOff>202410</xdr:colOff>
      <xdr:row>6</xdr:row>
      <xdr:rowOff>82825</xdr:rowOff>
    </xdr:to>
    <xdr:sp macro="" textlink="">
      <xdr:nvSpPr>
        <xdr:cNvPr id="33" name="TextBox 32"/>
        <xdr:cNvSpPr txBox="1"/>
      </xdr:nvSpPr>
      <xdr:spPr>
        <a:xfrm>
          <a:off x="0" y="836542"/>
          <a:ext cx="889867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 sz="1100" b="1" u="sng">
              <a:solidFill>
                <a:schemeClr val="bg1"/>
              </a:solidFill>
            </a:rPr>
            <a:t>OVERVIEW</a:t>
          </a:r>
        </a:p>
      </xdr:txBody>
    </xdr:sp>
    <xdr:clientData/>
  </xdr:twoCellAnchor>
  <xdr:twoCellAnchor>
    <xdr:from>
      <xdr:col>1</xdr:col>
      <xdr:colOff>165868</xdr:colOff>
      <xdr:row>4</xdr:row>
      <xdr:rowOff>108630</xdr:rowOff>
    </xdr:from>
    <xdr:to>
      <xdr:col>3</xdr:col>
      <xdr:colOff>224094</xdr:colOff>
      <xdr:row>6</xdr:row>
      <xdr:rowOff>83783</xdr:rowOff>
    </xdr:to>
    <xdr:sp macro="" textlink="">
      <xdr:nvSpPr>
        <xdr:cNvPr id="34" name="TextBox 33"/>
        <xdr:cNvSpPr txBox="1"/>
      </xdr:nvSpPr>
      <xdr:spPr>
        <a:xfrm>
          <a:off x="881142" y="827498"/>
          <a:ext cx="1409697" cy="334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WEEKLY SUMMARY</a:t>
          </a:r>
        </a:p>
      </xdr:txBody>
    </xdr:sp>
    <xdr:clientData/>
  </xdr:twoCellAnchor>
  <xdr:twoCellAnchor>
    <xdr:from>
      <xdr:col>3</xdr:col>
      <xdr:colOff>263098</xdr:colOff>
      <xdr:row>4</xdr:row>
      <xdr:rowOff>109601</xdr:rowOff>
    </xdr:from>
    <xdr:to>
      <xdr:col>3</xdr:col>
      <xdr:colOff>1696237</xdr:colOff>
      <xdr:row>6</xdr:row>
      <xdr:rowOff>84754</xdr:rowOff>
    </xdr:to>
    <xdr:sp macro="" textlink="">
      <xdr:nvSpPr>
        <xdr:cNvPr id="35" name="TextBox 34"/>
        <xdr:cNvSpPr txBox="1"/>
      </xdr:nvSpPr>
      <xdr:spPr>
        <a:xfrm>
          <a:off x="2329843" y="828469"/>
          <a:ext cx="1433139" cy="334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PROJECT SUMMARY</a:t>
          </a:r>
        </a:p>
      </xdr:txBody>
    </xdr:sp>
    <xdr:clientData/>
  </xdr:twoCellAnchor>
  <xdr:twoCellAnchor>
    <xdr:from>
      <xdr:col>3</xdr:col>
      <xdr:colOff>1700599</xdr:colOff>
      <xdr:row>4</xdr:row>
      <xdr:rowOff>107634</xdr:rowOff>
    </xdr:from>
    <xdr:to>
      <xdr:col>4</xdr:col>
      <xdr:colOff>727279</xdr:colOff>
      <xdr:row>6</xdr:row>
      <xdr:rowOff>82787</xdr:rowOff>
    </xdr:to>
    <xdr:sp macro="" textlink="">
      <xdr:nvSpPr>
        <xdr:cNvPr id="36" name="TextBox 35">
          <a:hlinkClick xmlns:r="http://schemas.openxmlformats.org/officeDocument/2006/relationships" r:id="rId1"/>
        </xdr:cNvPr>
        <xdr:cNvSpPr txBox="1"/>
      </xdr:nvSpPr>
      <xdr:spPr>
        <a:xfrm>
          <a:off x="3769722" y="834465"/>
          <a:ext cx="978572" cy="338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TASK</a:t>
          </a:r>
          <a:r>
            <a:rPr lang="en-NZ" sz="1100" b="1" u="sng" baseline="0">
              <a:solidFill>
                <a:schemeClr val="bg1"/>
              </a:solidFill>
            </a:rPr>
            <a:t> LISTS</a:t>
          </a:r>
          <a:endParaRPr lang="en-NZ" sz="11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1585547</xdr:colOff>
      <xdr:row>4</xdr:row>
      <xdr:rowOff>110213</xdr:rowOff>
    </xdr:from>
    <xdr:to>
      <xdr:col>6</xdr:col>
      <xdr:colOff>32654</xdr:colOff>
      <xdr:row>6</xdr:row>
      <xdr:rowOff>85366</xdr:rowOff>
    </xdr:to>
    <xdr:sp macro="" textlink="">
      <xdr:nvSpPr>
        <xdr:cNvPr id="37" name="TextBox 36">
          <a:hlinkClick xmlns:r="http://schemas.openxmlformats.org/officeDocument/2006/relationships" r:id="rId2"/>
        </xdr:cNvPr>
        <xdr:cNvSpPr txBox="1"/>
      </xdr:nvSpPr>
      <xdr:spPr>
        <a:xfrm>
          <a:off x="5606562" y="837044"/>
          <a:ext cx="1076007" cy="338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SOURCE DATA</a:t>
          </a:r>
        </a:p>
      </xdr:txBody>
    </xdr:sp>
    <xdr:clientData/>
  </xdr:twoCellAnchor>
  <xdr:twoCellAnchor>
    <xdr:from>
      <xdr:col>4</xdr:col>
      <xdr:colOff>731532</xdr:colOff>
      <xdr:row>4</xdr:row>
      <xdr:rowOff>107634</xdr:rowOff>
    </xdr:from>
    <xdr:to>
      <xdr:col>4</xdr:col>
      <xdr:colOff>1530149</xdr:colOff>
      <xdr:row>6</xdr:row>
      <xdr:rowOff>82787</xdr:rowOff>
    </xdr:to>
    <xdr:sp macro="" textlink="">
      <xdr:nvSpPr>
        <xdr:cNvPr id="38" name="TextBox 37">
          <a:hlinkClick xmlns:r="http://schemas.openxmlformats.org/officeDocument/2006/relationships" r:id="rId3"/>
        </xdr:cNvPr>
        <xdr:cNvSpPr txBox="1"/>
      </xdr:nvSpPr>
      <xdr:spPr>
        <a:xfrm>
          <a:off x="4752547" y="834465"/>
          <a:ext cx="798617" cy="338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SETTINGS</a:t>
          </a:r>
        </a:p>
      </xdr:txBody>
    </xdr:sp>
    <xdr:clientData/>
  </xdr:twoCellAnchor>
  <xdr:twoCellAnchor>
    <xdr:from>
      <xdr:col>5</xdr:col>
      <xdr:colOff>279400</xdr:colOff>
      <xdr:row>12</xdr:row>
      <xdr:rowOff>25400</xdr:rowOff>
    </xdr:from>
    <xdr:to>
      <xdr:col>5</xdr:col>
      <xdr:colOff>406400</xdr:colOff>
      <xdr:row>12</xdr:row>
      <xdr:rowOff>152400</xdr:rowOff>
    </xdr:to>
    <xdr:sp macro="CLEAR_LAST_ROW" textlink="">
      <xdr:nvSpPr>
        <xdr:cNvPr id="7" name="Multiplication Sign 6"/>
        <xdr:cNvSpPr/>
      </xdr:nvSpPr>
      <xdr:spPr>
        <a:xfrm>
          <a:off x="6251575" y="21971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21169</xdr:colOff>
      <xdr:row>2</xdr:row>
      <xdr:rowOff>16933</xdr:rowOff>
    </xdr:from>
    <xdr:to>
      <xdr:col>1</xdr:col>
      <xdr:colOff>366185</xdr:colOff>
      <xdr:row>3</xdr:row>
      <xdr:rowOff>167916</xdr:rowOff>
    </xdr:to>
    <xdr:sp macro="[0]!ADD_TASK" textlink="">
      <xdr:nvSpPr>
        <xdr:cNvPr id="2" name="Rectangle: Rounded Corners 1"/>
        <xdr:cNvSpPr/>
      </xdr:nvSpPr>
      <xdr:spPr>
        <a:xfrm>
          <a:off x="211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New</a:t>
          </a:r>
        </a:p>
      </xdr:txBody>
    </xdr:sp>
    <xdr:clientData/>
  </xdr:twoCellAnchor>
  <xdr:twoCellAnchor editAs="oneCell">
    <xdr:from>
      <xdr:col>1</xdr:col>
      <xdr:colOff>579969</xdr:colOff>
      <xdr:row>2</xdr:row>
      <xdr:rowOff>16933</xdr:rowOff>
    </xdr:from>
    <xdr:to>
      <xdr:col>1</xdr:col>
      <xdr:colOff>1718735</xdr:colOff>
      <xdr:row>3</xdr:row>
      <xdr:rowOff>167916</xdr:rowOff>
    </xdr:to>
    <xdr:sp macro="[0]!GENENERATE_TASKLIST" textlink="">
      <xdr:nvSpPr>
        <xdr:cNvPr id="3" name="Rectangle: Rounded Corners 2"/>
        <xdr:cNvSpPr/>
      </xdr:nvSpPr>
      <xdr:spPr>
        <a:xfrm>
          <a:off x="13546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Update</a:t>
          </a:r>
        </a:p>
      </xdr:txBody>
    </xdr:sp>
    <xdr:clientData/>
  </xdr:twoCellAnchor>
  <xdr:twoCellAnchor>
    <xdr:from>
      <xdr:col>5</xdr:col>
      <xdr:colOff>279400</xdr:colOff>
      <xdr:row>8</xdr:row>
      <xdr:rowOff>25400</xdr:rowOff>
    </xdr:from>
    <xdr:to>
      <xdr:col>5</xdr:col>
      <xdr:colOff>406400</xdr:colOff>
      <xdr:row>8</xdr:row>
      <xdr:rowOff>152400</xdr:rowOff>
    </xdr:to>
    <xdr:sp macro="CLEAR_LAST_ROW" textlink="">
      <xdr:nvSpPr>
        <xdr:cNvPr id="26" name="Multiplication Sign 25"/>
        <xdr:cNvSpPr/>
      </xdr:nvSpPr>
      <xdr:spPr>
        <a:xfrm>
          <a:off x="5554133" y="9144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279400</xdr:colOff>
      <xdr:row>7</xdr:row>
      <xdr:rowOff>25400</xdr:rowOff>
    </xdr:from>
    <xdr:to>
      <xdr:col>5</xdr:col>
      <xdr:colOff>406400</xdr:colOff>
      <xdr:row>7</xdr:row>
      <xdr:rowOff>152400</xdr:rowOff>
    </xdr:to>
    <xdr:sp macro="DELETE_ROW" textlink="">
      <xdr:nvSpPr>
        <xdr:cNvPr id="19" name="Multiplication Sign 18"/>
        <xdr:cNvSpPr/>
      </xdr:nvSpPr>
      <xdr:spPr>
        <a:xfrm>
          <a:off x="6908800" y="111125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279400</xdr:colOff>
      <xdr:row>6</xdr:row>
      <xdr:rowOff>25400</xdr:rowOff>
    </xdr:from>
    <xdr:to>
      <xdr:col>5</xdr:col>
      <xdr:colOff>406400</xdr:colOff>
      <xdr:row>6</xdr:row>
      <xdr:rowOff>152400</xdr:rowOff>
    </xdr:to>
    <xdr:sp macro="DELETE_ROW" textlink="">
      <xdr:nvSpPr>
        <xdr:cNvPr id="30" name="Multiplication Sign 29"/>
        <xdr:cNvSpPr/>
      </xdr:nvSpPr>
      <xdr:spPr>
        <a:xfrm>
          <a:off x="6908800" y="111125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dropbox.com/319282909/working%20space/general/tools/productivity/Timesheet/Workspace/Time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age"/>
      <sheetName val="Change Log"/>
      <sheetName val="Time Sheet"/>
      <sheetName val="Task List"/>
      <sheetName val="Overview"/>
      <sheetName val="Fortnightly Summary"/>
      <sheetName val="Project Summary"/>
      <sheetName val="Timesheet"/>
    </sheetNames>
    <sheetDataSet>
      <sheetData sheetId="0"/>
      <sheetData sheetId="1"/>
      <sheetData sheetId="2"/>
      <sheetData sheetId="3">
        <row r="2">
          <cell r="D2">
            <v>42548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7" name="TABLE_INPUT" displayName="TABLE_INPUT" ref="A12:F13" totalsRowShown="0" headerRowDxfId="79" dataDxfId="77" headerRowBorderDxfId="78" tableBorderDxfId="76" totalsRowBorderDxfId="75">
  <sortState ref="A13:F20">
    <sortCondition ref="A13:A20"/>
    <sortCondition ref="B13:B20"/>
  </sortState>
  <tableColumns count="6">
    <tableColumn id="1" name="Date" dataDxfId="74"/>
    <tableColumn id="2" name="Start" dataDxfId="73"/>
    <tableColumn id="3" name="End" dataDxfId="72"/>
    <tableColumn id="4" name="Task" dataDxfId="71"/>
    <tableColumn id="5" name="Comment" dataDxfId="70"/>
    <tableColumn id="6" name="Delete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_TASK" displayName="TABLE_TASK" ref="A6:F9" totalsRowShown="0" headerRowDxfId="68" headerRowBorderDxfId="67" tableBorderDxfId="66" totalsRowBorderDxfId="65">
  <tableColumns count="6">
    <tableColumn id="1" name="Project Type" dataDxfId="64"/>
    <tableColumn id="2" name="Project Code" dataDxfId="63"/>
    <tableColumn id="3" name="One-off" dataDxfId="62"/>
    <tableColumn id="4" name="Budgeted Hours" dataDxfId="61"/>
    <tableColumn id="8" name="Active" dataDxfId="60"/>
    <tableColumn id="5" name="Delete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PARAM_SYS" displayName="TABLE_PARAM_SYS" ref="A1:B6" totalsRowShown="0" headerRowDxfId="58" headerRowBorderDxfId="57" tableBorderDxfId="56" totalsRowBorderDxfId="55">
  <tableColumns count="2">
    <tableColumn id="1" name="Variable" dataDxfId="54"/>
    <tableColumn id="2" name="Value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PARAM_SYS_TASK_VALID_FULL" displayName="TABLE_PARAM_SYS_TASK_VALID_FULL" ref="J1:J4" totalsRowShown="0" headerRowDxfId="52" headerRowBorderDxfId="51" tableBorderDxfId="50" totalsRowBorderDxfId="49">
  <autoFilter ref="J1:J4"/>
  <tableColumns count="1">
    <tableColumn id="1" name="Task List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TABLE_PARAM_SYS_TASK_SOURCE" displayName="TABLE_PARAM_SYS_TASK_SOURCE" ref="D1:H4" totalsRowShown="0" headerRowDxfId="47" headerRowBorderDxfId="46" tableBorderDxfId="45" totalsRowBorderDxfId="44">
  <sortState ref="D2:H4">
    <sortCondition ref="G1:G4"/>
  </sortState>
  <tableColumns count="5">
    <tableColumn id="1" name="Project Type" dataDxfId="43"/>
    <tableColumn id="2" name="Project Code" dataDxfId="42"/>
    <tableColumn id="3" name="Project Status" dataDxfId="41"/>
    <tableColumn id="5" name="Task List" dataDxfId="40">
      <calculatedColumnFormula>TABLE_PARAM_SYS_TASK_SOURCE[[#This Row],[Project Type]] &amp; "/" &amp;TABLE_PARAM_SYS_TASK_SOURCE[[#This Row],[Project Code]] &amp; "/" &amp; IF(TABLE_PARAM_SYS_TASK_SOURCE[[#This Row],[Project Status]] = "", "", TABLE_PARAM_SYS_TASK_SOURCE[[#This Row],[Project Status]] &amp; ";")</calculatedColumnFormula>
    </tableColumn>
    <tableColumn id="6" name="Active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_PARAM_SYS_TASK_VALID_ACTIVE" displayName="TABLE_PARAM_SYS_TASK_VALID_ACTIVE" ref="L1:L4" totalsRowShown="0" headerRowDxfId="38" headerRowBorderDxfId="37" tableBorderDxfId="36" totalsRowBorderDxfId="35">
  <autoFilter ref="L1:L4"/>
  <tableColumns count="1">
    <tableColumn id="1" name="Task List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_PARAM_SYS_DROPDOWN_LOC" displayName="TABLE_PARAM_SYS_DROPDOWN_LOC" ref="A9:A11" totalsRowShown="0" headerRowDxfId="33" headerRowBorderDxfId="32" tableBorderDxfId="31" totalsRowBorderDxfId="30">
  <tableColumns count="1">
    <tableColumn id="1" name="Selection Validation" dataDxfId="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TABLE_SOURCE" displayName="TABLE_SOURCE" ref="A4:L5" totalsRowShown="0" headerRowDxfId="28" dataDxfId="26" headerRowBorderDxfId="27" tableBorderDxfId="25" totalsRowBorderDxfId="24">
  <tableColumns count="12">
    <tableColumn id="1" name="Date" dataDxfId="23"/>
    <tableColumn id="2" name="DoW" dataDxfId="22">
      <calculatedColumnFormula>TEXT(TABLE_SOURCE[[#This Row],[Date]], "dddd")</calculatedColumnFormula>
    </tableColumn>
    <tableColumn id="3" name="Start" dataDxfId="21"/>
    <tableColumn id="4" name="End" dataDxfId="20"/>
    <tableColumn id="5" name="Duration" dataDxfId="19">
      <calculatedColumnFormula>TABLE_SOURCE[[#This Row],[End]]-TABLE_SOURCE[[#This Row],[Start]]</calculatedColumnFormula>
    </tableColumn>
    <tableColumn id="6" name="Week" dataDxfId="18">
      <calculatedColumnFormula>"Week " &amp; INT((TABLE_SOURCE[[#This Row],[Date]]-USER_INIT_TIME)/7) + 1</calculatedColumnFormula>
    </tableColumn>
    <tableColumn id="7" name="Month" dataDxfId="17">
      <calculatedColumnFormula>YEAR(TABLE_SOURCE[Date]) &amp; "-" &amp; MONTH(TABLE_SOURCE[Date])</calculatedColumnFormula>
    </tableColumn>
    <tableColumn id="8" name="Task" dataDxfId="16"/>
    <tableColumn id="9" name="Project Type" dataDxfId="15">
      <calculatedColumnFormula>IF(ISERROR(FIND("/",TABLE_SOURCE[Task])),H5,MID(TABLE_SOURCE[Task],1,FIND("/",TABLE_SOURCE[Task])-1))</calculatedColumnFormula>
    </tableColumn>
    <tableColumn id="10" name="Project Code" dataDxfId="14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13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TABLE_PARAM_USER" displayName="TABLE_PARAM_USER" ref="A4:B7" totalsRowShown="0" headerRowDxfId="11" headerRowBorderDxfId="10" tableBorderDxfId="9" totalsRowBorderDxfId="8">
  <tableColumns count="2">
    <tableColumn id="1" name="Variable" dataDxfId="7"/>
    <tableColumn id="2" name="Value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6" name="TABLE_PARAM_USER_TASK_STATUS" displayName="TABLE_PARAM_USER_TASK_STATUS" ref="D4:E24" totalsRowShown="0" headerRowDxfId="5" headerRowBorderDxfId="4" tableBorderDxfId="3" totalsRowBorderDxfId="2">
  <tableColumns count="2">
    <tableColumn id="1" name="Project Type" dataDxfId="1"/>
    <tableColumn id="2" name="Project 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showRowColHeaders="0" zoomScaleNormal="100" zoomScalePageLayoutView="115" workbookViewId="0">
      <selection activeCell="D21" sqref="D21"/>
    </sheetView>
  </sheetViews>
  <sheetFormatPr defaultColWidth="8.875" defaultRowHeight="14.25" x14ac:dyDescent="0.2"/>
  <cols>
    <col min="1" max="1" width="9.375" bestFit="1" customWidth="1"/>
    <col min="4" max="5" width="25.625" customWidth="1"/>
  </cols>
  <sheetData>
    <row r="1" spans="1:9" ht="14.25" customHeight="1" x14ac:dyDescent="0.2">
      <c r="A1" s="38">
        <f ca="1">YEAR(SYS_DATE)</f>
        <v>2016</v>
      </c>
      <c r="B1" s="40" t="str">
        <f ca="1">UPPER(TEXT(SYS_DATE, "mmmm")) &amp; "-" &amp; TEXT(SYS_DATE, "dd")</f>
        <v>SEPTEMBER-11</v>
      </c>
      <c r="C1" s="40"/>
      <c r="D1" s="40"/>
      <c r="G1" s="43" t="str">
        <f>USER_NAME</f>
        <v>Ethan Li</v>
      </c>
      <c r="H1" s="43"/>
      <c r="I1" s="43"/>
    </row>
    <row r="2" spans="1:9" ht="14.25" customHeight="1" x14ac:dyDescent="0.2">
      <c r="A2" s="39"/>
      <c r="B2" s="41"/>
      <c r="C2" s="41"/>
      <c r="D2" s="41"/>
      <c r="G2" s="44"/>
      <c r="H2" s="44"/>
      <c r="I2" s="44"/>
    </row>
    <row r="3" spans="1:9" x14ac:dyDescent="0.2">
      <c r="B3" s="42" t="str">
        <f ca="1" xml:space="preserve"> "(Week " &amp;  INT((SYS_DATE-USER_INIT_TIME)/7) + 1 &amp; ")"</f>
        <v>(Week 0)</v>
      </c>
      <c r="C3" s="42"/>
      <c r="G3" s="45" t="str">
        <f>USER_COMPANY</f>
        <v>Spark Connect</v>
      </c>
      <c r="H3" s="45"/>
      <c r="I3" s="45"/>
    </row>
    <row r="5" spans="1:9" x14ac:dyDescent="0.2">
      <c r="A5" s="37"/>
      <c r="B5" s="37"/>
      <c r="C5" s="37"/>
      <c r="D5" s="37"/>
      <c r="E5" s="37"/>
      <c r="F5" s="37"/>
      <c r="G5" s="37"/>
      <c r="H5" s="37"/>
      <c r="I5" s="37"/>
    </row>
    <row r="6" spans="1:9" x14ac:dyDescent="0.2">
      <c r="A6" s="37"/>
      <c r="B6" s="37"/>
      <c r="C6" s="37"/>
      <c r="D6" s="37"/>
      <c r="E6" s="37"/>
      <c r="F6" s="37"/>
      <c r="G6" s="37"/>
      <c r="H6" s="37"/>
      <c r="I6" s="37"/>
    </row>
    <row r="7" spans="1:9" x14ac:dyDescent="0.2">
      <c r="A7" s="37"/>
      <c r="B7" s="37"/>
      <c r="C7" s="37"/>
      <c r="D7" s="37"/>
      <c r="E7" s="37"/>
      <c r="F7" s="37"/>
      <c r="G7" s="37"/>
      <c r="H7" s="37"/>
      <c r="I7" s="37"/>
    </row>
    <row r="8" spans="1:9" x14ac:dyDescent="0.2">
      <c r="A8" s="7"/>
      <c r="B8" s="7"/>
      <c r="C8" s="7"/>
      <c r="E8" s="7"/>
      <c r="F8" s="7"/>
    </row>
    <row r="9" spans="1:9" x14ac:dyDescent="0.2">
      <c r="A9" s="7"/>
      <c r="B9" s="7"/>
      <c r="C9" s="7"/>
      <c r="E9" s="7"/>
      <c r="F9" s="7"/>
    </row>
    <row r="10" spans="1:9" x14ac:dyDescent="0.2">
      <c r="A10" s="7"/>
      <c r="B10" s="7"/>
      <c r="C10" s="7"/>
      <c r="E10" s="7"/>
      <c r="F10" s="7"/>
    </row>
    <row r="12" spans="1:9" x14ac:dyDescent="0.2">
      <c r="A12" s="8" t="s">
        <v>0</v>
      </c>
      <c r="B12" s="9" t="s">
        <v>2</v>
      </c>
      <c r="C12" s="9" t="s">
        <v>3</v>
      </c>
      <c r="D12" s="9" t="s">
        <v>7</v>
      </c>
      <c r="E12" s="9" t="s">
        <v>11</v>
      </c>
      <c r="F12" s="10" t="s">
        <v>22</v>
      </c>
    </row>
    <row r="13" spans="1:9" x14ac:dyDescent="0.2">
      <c r="A13" s="29"/>
      <c r="B13" s="30"/>
      <c r="C13" s="30"/>
      <c r="D13" s="12"/>
      <c r="E13" s="12"/>
      <c r="F13" s="11"/>
    </row>
    <row r="17" spans="5:5" x14ac:dyDescent="0.2">
      <c r="E17" s="14"/>
    </row>
  </sheetData>
  <mergeCells count="6">
    <mergeCell ref="A5:I7"/>
    <mergeCell ref="A1:A2"/>
    <mergeCell ref="B1:D2"/>
    <mergeCell ref="B3:C3"/>
    <mergeCell ref="G1:I2"/>
    <mergeCell ref="G3:I3"/>
  </mergeCells>
  <dataValidations count="1">
    <dataValidation type="list" allowBlank="1" showInputMessage="1" showErrorMessage="1" sqref="D13">
      <formula1>TASK_VALIDATION_ACTIVE</formula1>
    </dataValidation>
  </dataValidations>
  <pageMargins left="0.7" right="0.7" top="0.75" bottom="0.75" header="0.3" footer="0.3"/>
  <pageSetup paperSize="9" orientation="landscape" r:id="rId1"/>
  <rowBreaks count="1" manualBreakCount="1">
    <brk id="21" max="16383" man="1"/>
  </rowBreaks>
  <colBreaks count="1" manualBreakCount="1">
    <brk id="3" max="1048575" man="1"/>
  </colBreak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9"/>
  <sheetViews>
    <sheetView zoomScaleNormal="100" workbookViewId="0">
      <selection activeCell="J7" sqref="J7"/>
    </sheetView>
  </sheetViews>
  <sheetFormatPr defaultRowHeight="14.25" x14ac:dyDescent="0.2"/>
  <cols>
    <col min="1" max="1" width="10.375" bestFit="1" customWidth="1"/>
    <col min="2" max="2" width="24.375" customWidth="1"/>
    <col min="3" max="3" width="16.5" customWidth="1"/>
    <col min="4" max="5" width="16.25" customWidth="1"/>
    <col min="6" max="6" width="9" customWidth="1"/>
  </cols>
  <sheetData>
    <row r="1" spans="1:6" ht="18.75" x14ac:dyDescent="0.3">
      <c r="A1" s="48" t="s">
        <v>43</v>
      </c>
      <c r="B1" s="48"/>
    </row>
    <row r="3" spans="1:6" x14ac:dyDescent="0.2">
      <c r="C3" s="46" t="s">
        <v>42</v>
      </c>
      <c r="D3" s="46"/>
      <c r="E3" s="31"/>
    </row>
    <row r="4" spans="1:6" x14ac:dyDescent="0.2">
      <c r="C4" s="47" t="s">
        <v>49</v>
      </c>
      <c r="D4" s="47"/>
      <c r="E4" s="47"/>
      <c r="F4" s="47"/>
    </row>
    <row r="6" spans="1:6" x14ac:dyDescent="0.2">
      <c r="A6" s="1" t="s">
        <v>8</v>
      </c>
      <c r="B6" s="3" t="s">
        <v>9</v>
      </c>
      <c r="C6" s="3" t="s">
        <v>29</v>
      </c>
      <c r="D6" s="3" t="s">
        <v>25</v>
      </c>
      <c r="E6" s="17" t="s">
        <v>52</v>
      </c>
      <c r="F6" s="17" t="s">
        <v>22</v>
      </c>
    </row>
    <row r="7" spans="1:6" x14ac:dyDescent="0.2">
      <c r="A7" s="20" t="s">
        <v>44</v>
      </c>
      <c r="B7" s="19" t="s">
        <v>46</v>
      </c>
      <c r="C7" s="19" t="b">
        <v>0</v>
      </c>
      <c r="D7" s="19"/>
      <c r="E7" s="22" t="b">
        <v>1</v>
      </c>
      <c r="F7" s="22"/>
    </row>
    <row r="8" spans="1:6" x14ac:dyDescent="0.2">
      <c r="A8" s="20" t="s">
        <v>44</v>
      </c>
      <c r="B8" s="19" t="s">
        <v>47</v>
      </c>
      <c r="C8" s="19" t="b">
        <v>0</v>
      </c>
      <c r="D8" s="19"/>
      <c r="E8" s="22" t="b">
        <v>1</v>
      </c>
      <c r="F8" s="22"/>
    </row>
    <row r="9" spans="1:6" x14ac:dyDescent="0.2">
      <c r="A9" s="20" t="s">
        <v>44</v>
      </c>
      <c r="B9" s="19" t="s">
        <v>45</v>
      </c>
      <c r="C9" s="19" t="b">
        <v>0</v>
      </c>
      <c r="D9" s="19"/>
      <c r="E9" s="22" t="b">
        <v>1</v>
      </c>
      <c r="F9" s="22"/>
    </row>
  </sheetData>
  <mergeCells count="3">
    <mergeCell ref="C3:D3"/>
    <mergeCell ref="C4:F4"/>
    <mergeCell ref="A1:B1"/>
  </mergeCells>
  <dataValidations count="2">
    <dataValidation type="list" allowBlank="1" showInputMessage="1" showErrorMessage="1" sqref="C4:F4">
      <formula1>TASK_VALIDATION_FULL</formula1>
    </dataValidation>
    <dataValidation type="list" allowBlank="1" showInputMessage="1" showErrorMessage="1" sqref="E7:E9 C7:C9">
      <formula1>BOOLEAN_VALIDATION</formula1>
    </dataValidation>
  </dataValidations>
  <hyperlinks>
    <hyperlink ref="A1" location="'Input Page'!A1" display="Homepag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"/>
  <sheetViews>
    <sheetView workbookViewId="0">
      <selection activeCell="L2" sqref="L2:L4"/>
    </sheetView>
  </sheetViews>
  <sheetFormatPr defaultColWidth="8.875" defaultRowHeight="14.25" x14ac:dyDescent="0.2"/>
  <cols>
    <col min="1" max="1" width="17.75" customWidth="1"/>
    <col min="2" max="2" width="10.625" bestFit="1" customWidth="1"/>
    <col min="3" max="3" width="10.625" customWidth="1"/>
    <col min="4" max="4" width="10.375" bestFit="1" customWidth="1"/>
    <col min="5" max="5" width="27.875" bestFit="1" customWidth="1"/>
    <col min="6" max="6" width="19.25" bestFit="1" customWidth="1"/>
    <col min="7" max="7" width="29.5" bestFit="1" customWidth="1"/>
    <col min="8" max="8" width="5.75" bestFit="1" customWidth="1"/>
    <col min="10" max="10" width="29.5" bestFit="1" customWidth="1"/>
    <col min="12" max="12" width="29.5" bestFit="1" customWidth="1"/>
  </cols>
  <sheetData>
    <row r="1" spans="1:12" x14ac:dyDescent="0.2">
      <c r="A1" s="1" t="s">
        <v>16</v>
      </c>
      <c r="B1" s="17" t="s">
        <v>17</v>
      </c>
      <c r="D1" s="1" t="s">
        <v>8</v>
      </c>
      <c r="E1" s="3" t="s">
        <v>9</v>
      </c>
      <c r="F1" s="3" t="s">
        <v>10</v>
      </c>
      <c r="G1" s="17" t="s">
        <v>18</v>
      </c>
      <c r="H1" s="19" t="s">
        <v>52</v>
      </c>
      <c r="J1" s="18" t="s">
        <v>18</v>
      </c>
      <c r="L1" s="18" t="s">
        <v>18</v>
      </c>
    </row>
    <row r="2" spans="1:12" x14ac:dyDescent="0.2">
      <c r="A2" s="20" t="s">
        <v>13</v>
      </c>
      <c r="B2" s="21">
        <f ca="1">TODAY()</f>
        <v>42624</v>
      </c>
      <c r="C2" s="5"/>
      <c r="D2" s="27" t="s">
        <v>44</v>
      </c>
      <c r="E2" s="28" t="s">
        <v>46</v>
      </c>
      <c r="F2" s="21"/>
      <c r="G2" s="21" t="str">
        <f>TABLE_PARAM_SYS_TASK_SOURCE[[#This Row],[Project Type]] &amp; "/" &amp;TABLE_PARAM_SYS_TASK_SOURCE[[#This Row],[Project Code]] &amp; "/" &amp; IF(TABLE_PARAM_SYS_TASK_SOURCE[[#This Row],[Project Status]] = "", "", TABLE_PARAM_SYS_TASK_SOURCE[[#This Row],[Project Status]] &amp; ";")</f>
        <v>General/Admin/</v>
      </c>
      <c r="H2" s="28" t="b">
        <v>1</v>
      </c>
      <c r="J2" s="23" t="s">
        <v>48</v>
      </c>
      <c r="L2" s="23" t="s">
        <v>48</v>
      </c>
    </row>
    <row r="3" spans="1:12" x14ac:dyDescent="0.2">
      <c r="A3" s="20" t="s">
        <v>14</v>
      </c>
      <c r="B3" s="24">
        <v>0</v>
      </c>
      <c r="C3" s="6"/>
      <c r="D3" s="27" t="s">
        <v>44</v>
      </c>
      <c r="E3" s="28" t="s">
        <v>47</v>
      </c>
      <c r="F3" s="21"/>
      <c r="G3" s="21" t="str">
        <f>TABLE_PARAM_SYS_TASK_SOURCE[[#This Row],[Project Type]] &amp; "/" &amp;TABLE_PARAM_SYS_TASK_SOURCE[[#This Row],[Project Code]] &amp; "/" &amp; IF(TABLE_PARAM_SYS_TASK_SOURCE[[#This Row],[Project Status]] = "", "", TABLE_PARAM_SYS_TASK_SOURCE[[#This Row],[Project Status]] &amp; ";")</f>
        <v>General/Break/</v>
      </c>
      <c r="H3" s="28" t="b">
        <v>1</v>
      </c>
      <c r="J3" s="23" t="s">
        <v>49</v>
      </c>
      <c r="L3" s="23" t="s">
        <v>49</v>
      </c>
    </row>
    <row r="4" spans="1:12" x14ac:dyDescent="0.2">
      <c r="A4" s="20" t="s">
        <v>15</v>
      </c>
      <c r="B4" s="24">
        <v>0</v>
      </c>
      <c r="C4" s="6"/>
      <c r="D4" s="27" t="s">
        <v>44</v>
      </c>
      <c r="E4" s="28" t="s">
        <v>45</v>
      </c>
      <c r="F4" s="21"/>
      <c r="G4" s="21" t="str">
        <f>TABLE_PARAM_SYS_TASK_SOURCE[[#This Row],[Project Type]] &amp; "/" &amp;TABLE_PARAM_SYS_TASK_SOURCE[[#This Row],[Project Code]] &amp; "/" &amp; IF(TABLE_PARAM_SYS_TASK_SOURCE[[#This Row],[Project Status]] = "", "", TABLE_PARAM_SYS_TASK_SOURCE[[#This Row],[Project Status]] &amp; ";")</f>
        <v>General/Internal Meeting/</v>
      </c>
      <c r="H4" s="28" t="b">
        <v>1</v>
      </c>
      <c r="J4" s="23" t="s">
        <v>50</v>
      </c>
      <c r="L4" s="23" t="s">
        <v>50</v>
      </c>
    </row>
    <row r="5" spans="1:12" x14ac:dyDescent="0.2">
      <c r="A5" s="20" t="s">
        <v>23</v>
      </c>
      <c r="B5" s="25">
        <v>0</v>
      </c>
      <c r="C5" s="13"/>
    </row>
    <row r="6" spans="1:12" x14ac:dyDescent="0.2">
      <c r="A6" s="16" t="s">
        <v>24</v>
      </c>
      <c r="B6" s="26">
        <v>0.99930555555555556</v>
      </c>
      <c r="C6" s="13"/>
    </row>
    <row r="9" spans="1:12" x14ac:dyDescent="0.2">
      <c r="A9" s="18" t="s">
        <v>53</v>
      </c>
    </row>
    <row r="10" spans="1:12" x14ac:dyDescent="0.2">
      <c r="A10" s="23" t="b">
        <v>1</v>
      </c>
    </row>
    <row r="11" spans="1:12" x14ac:dyDescent="0.2">
      <c r="A11" s="32" t="b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"/>
  <sheetViews>
    <sheetView tabSelected="1" zoomScale="115" zoomScaleNormal="115" workbookViewId="0">
      <selection activeCell="H12" sqref="H12"/>
    </sheetView>
  </sheetViews>
  <sheetFormatPr defaultColWidth="10.625" defaultRowHeight="14.25" x14ac:dyDescent="0.2"/>
  <cols>
    <col min="1" max="1" width="9.875" bestFit="1" customWidth="1"/>
    <col min="2" max="2" width="7.875" bestFit="1" customWidth="1"/>
    <col min="8" max="8" width="22" bestFit="1" customWidth="1"/>
    <col min="9" max="9" width="10.375" bestFit="1" customWidth="1"/>
    <col min="10" max="10" width="10.75" bestFit="1" customWidth="1"/>
    <col min="11" max="11" width="15.125" bestFit="1" customWidth="1"/>
  </cols>
  <sheetData>
    <row r="1" spans="1:12" ht="18.75" x14ac:dyDescent="0.3">
      <c r="A1" s="48" t="s">
        <v>43</v>
      </c>
      <c r="B1" s="48"/>
    </row>
    <row r="3" spans="1:12" x14ac:dyDescent="0.2">
      <c r="A3" s="46" t="s">
        <v>54</v>
      </c>
      <c r="B3" s="46"/>
    </row>
    <row r="4" spans="1:12" x14ac:dyDescent="0.2">
      <c r="A4" s="1" t="s">
        <v>0</v>
      </c>
      <c r="B4" s="2" t="s">
        <v>1</v>
      </c>
      <c r="C4" s="3" t="s">
        <v>2</v>
      </c>
      <c r="D4" s="3" t="s">
        <v>3</v>
      </c>
      <c r="E4" s="2" t="s">
        <v>4</v>
      </c>
      <c r="F4" s="2" t="s">
        <v>5</v>
      </c>
      <c r="G4" s="2" t="s">
        <v>6</v>
      </c>
      <c r="H4" s="3" t="s">
        <v>7</v>
      </c>
      <c r="I4" s="3" t="s">
        <v>8</v>
      </c>
      <c r="J4" s="2" t="s">
        <v>9</v>
      </c>
      <c r="K4" s="2" t="s">
        <v>10</v>
      </c>
      <c r="L4" s="4" t="s">
        <v>11</v>
      </c>
    </row>
    <row r="5" spans="1:12" x14ac:dyDescent="0.2">
      <c r="A5" s="29"/>
      <c r="B5" s="33" t="str">
        <f>TEXT(TABLE_SOURCE[[#This Row],[Date]], "dddd")</f>
        <v>Saturday</v>
      </c>
      <c r="C5" s="30"/>
      <c r="D5" s="30"/>
      <c r="E5" s="34">
        <f>TABLE_SOURCE[[#This Row],[End]]-TABLE_SOURCE[[#This Row],[Start]]</f>
        <v>0</v>
      </c>
      <c r="F5" s="33" t="str">
        <f>"Week " &amp; INT((TABLE_SOURCE[[#This Row],[Date]]-USER_INIT_TIME)/7) + 1</f>
        <v>Week -6089</v>
      </c>
      <c r="G5" s="35" t="str">
        <f>YEAR(TABLE_SOURCE[Date]) &amp; "-" &amp; MONTH(TABLE_SOURCE[Date])</f>
        <v>1900-1</v>
      </c>
      <c r="H5" s="12"/>
      <c r="I5" s="35">
        <f>IF(ISERROR(FIND("/",TABLE_SOURCE[Task])),H5,MID(TABLE_SOURCE[Task],1,FIND("/",TABLE_SOURCE[Task])-1))</f>
        <v>0</v>
      </c>
      <c r="J5" s="35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5" s="36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5" s="12"/>
    </row>
  </sheetData>
  <mergeCells count="2">
    <mergeCell ref="A3:B3"/>
    <mergeCell ref="A1:B1"/>
  </mergeCells>
  <dataValidations count="1">
    <dataValidation type="list" allowBlank="1" showInputMessage="1" showErrorMessage="1" sqref="H5">
      <formula1>TASK_VALIDATION_FULL</formula1>
    </dataValidation>
  </dataValidations>
  <hyperlinks>
    <hyperlink ref="A1" location="'Input Page'!A1" display="Homepage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4"/>
  <sheetViews>
    <sheetView workbookViewId="0">
      <selection activeCell="B15" sqref="B15"/>
    </sheetView>
  </sheetViews>
  <sheetFormatPr defaultColWidth="8.875" defaultRowHeight="14.25" x14ac:dyDescent="0.2"/>
  <cols>
    <col min="1" max="1" width="9.625" bestFit="1" customWidth="1"/>
    <col min="2" max="2" width="15.125" bestFit="1" customWidth="1"/>
    <col min="4" max="4" width="12.25" bestFit="1" customWidth="1"/>
    <col min="5" max="5" width="19.25" bestFit="1" customWidth="1"/>
  </cols>
  <sheetData>
    <row r="1" spans="1:5" ht="18.75" x14ac:dyDescent="0.3">
      <c r="A1" s="48" t="s">
        <v>43</v>
      </c>
      <c r="B1" s="48"/>
    </row>
    <row r="3" spans="1:5" x14ac:dyDescent="0.2">
      <c r="A3" s="46" t="s">
        <v>30</v>
      </c>
      <c r="B3" s="46"/>
      <c r="D3" s="46" t="s">
        <v>31</v>
      </c>
      <c r="E3" s="46"/>
    </row>
    <row r="4" spans="1:5" x14ac:dyDescent="0.2">
      <c r="A4" s="1" t="s">
        <v>16</v>
      </c>
      <c r="B4" s="17" t="s">
        <v>17</v>
      </c>
      <c r="D4" s="1" t="s">
        <v>8</v>
      </c>
      <c r="E4" s="17" t="s">
        <v>10</v>
      </c>
    </row>
    <row r="5" spans="1:5" x14ac:dyDescent="0.2">
      <c r="A5" s="20" t="s">
        <v>12</v>
      </c>
      <c r="B5" s="21">
        <v>42625</v>
      </c>
      <c r="D5" s="20" t="s">
        <v>27</v>
      </c>
      <c r="E5" s="22" t="s">
        <v>32</v>
      </c>
    </row>
    <row r="6" spans="1:5" x14ac:dyDescent="0.2">
      <c r="A6" s="20" t="s">
        <v>19</v>
      </c>
      <c r="B6" s="22" t="s">
        <v>21</v>
      </c>
      <c r="D6" s="20" t="s">
        <v>27</v>
      </c>
      <c r="E6" s="22" t="s">
        <v>38</v>
      </c>
    </row>
    <row r="7" spans="1:5" x14ac:dyDescent="0.2">
      <c r="A7" s="16" t="s">
        <v>20</v>
      </c>
      <c r="B7" s="15" t="s">
        <v>51</v>
      </c>
      <c r="D7" s="20" t="s">
        <v>27</v>
      </c>
      <c r="E7" s="22" t="s">
        <v>33</v>
      </c>
    </row>
    <row r="8" spans="1:5" x14ac:dyDescent="0.2">
      <c r="D8" s="20" t="s">
        <v>27</v>
      </c>
      <c r="E8" s="22" t="s">
        <v>34</v>
      </c>
    </row>
    <row r="9" spans="1:5" x14ac:dyDescent="0.2">
      <c r="D9" s="20" t="s">
        <v>27</v>
      </c>
      <c r="E9" s="22" t="s">
        <v>35</v>
      </c>
    </row>
    <row r="10" spans="1:5" x14ac:dyDescent="0.2">
      <c r="D10" s="20" t="s">
        <v>27</v>
      </c>
      <c r="E10" s="22" t="s">
        <v>36</v>
      </c>
    </row>
    <row r="11" spans="1:5" x14ac:dyDescent="0.2">
      <c r="D11" s="20" t="s">
        <v>27</v>
      </c>
      <c r="E11" s="22" t="s">
        <v>37</v>
      </c>
    </row>
    <row r="12" spans="1:5" x14ac:dyDescent="0.2">
      <c r="D12" s="20" t="s">
        <v>28</v>
      </c>
      <c r="E12" s="22" t="s">
        <v>55</v>
      </c>
    </row>
    <row r="13" spans="1:5" x14ac:dyDescent="0.2">
      <c r="D13" s="20" t="s">
        <v>28</v>
      </c>
      <c r="E13" s="22" t="s">
        <v>56</v>
      </c>
    </row>
    <row r="14" spans="1:5" x14ac:dyDescent="0.2">
      <c r="D14" s="20" t="s">
        <v>28</v>
      </c>
      <c r="E14" s="22" t="s">
        <v>57</v>
      </c>
    </row>
    <row r="15" spans="1:5" x14ac:dyDescent="0.2">
      <c r="D15" s="20" t="s">
        <v>28</v>
      </c>
      <c r="E15" s="22" t="s">
        <v>58</v>
      </c>
    </row>
    <row r="16" spans="1:5" x14ac:dyDescent="0.2">
      <c r="D16" s="20" t="s">
        <v>28</v>
      </c>
      <c r="E16" s="22" t="s">
        <v>36</v>
      </c>
    </row>
    <row r="17" spans="4:5" x14ac:dyDescent="0.2">
      <c r="D17" s="20" t="s">
        <v>28</v>
      </c>
      <c r="E17" s="22" t="s">
        <v>37</v>
      </c>
    </row>
    <row r="18" spans="4:5" x14ac:dyDescent="0.2">
      <c r="D18" s="20" t="s">
        <v>26</v>
      </c>
      <c r="E18" s="22" t="s">
        <v>32</v>
      </c>
    </row>
    <row r="19" spans="4:5" x14ac:dyDescent="0.2">
      <c r="D19" s="20" t="s">
        <v>26</v>
      </c>
      <c r="E19" s="22" t="s">
        <v>39</v>
      </c>
    </row>
    <row r="20" spans="4:5" x14ac:dyDescent="0.2">
      <c r="D20" s="20" t="s">
        <v>26</v>
      </c>
      <c r="E20" s="22" t="s">
        <v>36</v>
      </c>
    </row>
    <row r="21" spans="4:5" x14ac:dyDescent="0.2">
      <c r="D21" s="16" t="s">
        <v>26</v>
      </c>
      <c r="E21" s="15" t="s">
        <v>37</v>
      </c>
    </row>
    <row r="22" spans="4:5" x14ac:dyDescent="0.2">
      <c r="D22" s="16" t="s">
        <v>40</v>
      </c>
      <c r="E22" s="15" t="s">
        <v>41</v>
      </c>
    </row>
    <row r="23" spans="4:5" x14ac:dyDescent="0.2">
      <c r="D23" s="16" t="s">
        <v>40</v>
      </c>
      <c r="E23" s="15" t="s">
        <v>36</v>
      </c>
    </row>
    <row r="24" spans="4:5" x14ac:dyDescent="0.2">
      <c r="D24" s="16" t="s">
        <v>40</v>
      </c>
      <c r="E24" s="15" t="s">
        <v>37</v>
      </c>
    </row>
  </sheetData>
  <mergeCells count="3">
    <mergeCell ref="A3:B3"/>
    <mergeCell ref="D3:E3"/>
    <mergeCell ref="A1:B1"/>
  </mergeCells>
  <hyperlinks>
    <hyperlink ref="A1" location="'Input Page'!A1" display="Homepage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7" sqref="F7"/>
    </sheetView>
  </sheetViews>
  <sheetFormatPr defaultColWidth="8.875" defaultRowHeight="14.25" x14ac:dyDescent="0.2"/>
  <cols>
    <col min="1" max="1" width="8.8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4451C-70FB-485C-9FD6-074453E8F7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Input Page</vt:lpstr>
      <vt:lpstr>Task Lists</vt:lpstr>
      <vt:lpstr>System Variables</vt:lpstr>
      <vt:lpstr>Timesheet</vt:lpstr>
      <vt:lpstr>Settings</vt:lpstr>
      <vt:lpstr>Overview</vt:lpstr>
      <vt:lpstr>BOOLEAN_VALIDATION</vt:lpstr>
      <vt:lpstr>'Input Page'!Print_Area</vt:lpstr>
      <vt:lpstr>SYS_DATE</vt:lpstr>
      <vt:lpstr>SYS_TIME_END</vt:lpstr>
      <vt:lpstr>SYS_TIME_REC_CURR</vt:lpstr>
      <vt:lpstr>SYS_TIME_REC_INIT</vt:lpstr>
      <vt:lpstr>SYS_TIME_START</vt:lpstr>
      <vt:lpstr>TASK_VALIDATION_ACTIVE</vt:lpstr>
      <vt:lpstr>TASK_VALIDATION_FULL</vt:lpstr>
      <vt:lpstr>USER_COMPANY</vt:lpstr>
      <vt:lpstr>USER_INIT_TIME</vt:lpstr>
      <vt:lpstr>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2016-08-22T11:58:01Z</dcterms:created>
  <dcterms:modified xsi:type="dcterms:W3CDTF">2016-09-11T09:48:54Z</dcterms:modified>
</cp:coreProperties>
</file>