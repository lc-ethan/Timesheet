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/>
  <workbookPr/>
  <mc:AlternateContent xmlns:mc="http://schemas.openxmlformats.org/markup-compatibility/2006">
    <mc:Choice Requires="x15">
      <x15ac:absPath xmlns:x15ac="http://schemas.microsoft.com/office/spreadsheetml/2010/11/ac" url="C:\Users\lceth\Dropbox\Working Space\General\Tools\Productivity\Timesheet\"/>
    </mc:Choice>
  </mc:AlternateContent>
  <bookViews>
    <workbookView xWindow="0" yWindow="0" windowWidth="12165" windowHeight="9480" activeTab="1"/>
  </bookViews>
  <sheets>
    <sheet name="Input Page" sheetId="1" r:id="rId1"/>
    <sheet name="System Variables" sheetId="3" r:id="rId2"/>
    <sheet name="Timesheet" sheetId="2" r:id="rId3"/>
    <sheet name="Settings" sheetId="4" r:id="rId4"/>
  </sheets>
  <externalReferences>
    <externalReference r:id="rId5"/>
  </externalReferences>
  <definedNames>
    <definedName name="INITIAL_DATE">'[1]Task List'!$D$2</definedName>
    <definedName name="SYS_DATE">'System Variables'!$B$2</definedName>
    <definedName name="SYS_TIME_REC_CURR">'System Variables'!$B$4</definedName>
    <definedName name="SYS_TIME_REC_INIT">'System Variables'!$B$3</definedName>
    <definedName name="TASK_VALIDATION">TABLE_TASK[]</definedName>
    <definedName name="USER_COMPANY">Settings!$D$5</definedName>
    <definedName name="USER_INIT_TIME">Settings!$D$3</definedName>
    <definedName name="USER_NAME">Settings!$D$4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1" i="1"/>
  <c r="F4" i="2" l="1"/>
  <c r="B2" i="3" l="1"/>
  <c r="A1" i="1" s="1"/>
  <c r="B3" i="1" l="1"/>
  <c r="B1" i="1"/>
  <c r="K4" i="2"/>
  <c r="J4" i="2"/>
  <c r="I4" i="2"/>
  <c r="G4" i="2"/>
  <c r="E4" i="2"/>
  <c r="B4" i="2"/>
</calcChain>
</file>

<file path=xl/sharedStrings.xml><?xml version="1.0" encoding="utf-8"?>
<sst xmlns="http://schemas.openxmlformats.org/spreadsheetml/2006/main" count="33" uniqueCount="31">
  <si>
    <t>Date</t>
  </si>
  <si>
    <t>DoW</t>
  </si>
  <si>
    <t>Start</t>
  </si>
  <si>
    <t>End</t>
  </si>
  <si>
    <t>Duration</t>
  </si>
  <si>
    <t>Week</t>
  </si>
  <si>
    <t>Month</t>
  </si>
  <si>
    <t>Task</t>
  </si>
  <si>
    <t>Project Type</t>
  </si>
  <si>
    <t>Project Code</t>
  </si>
  <si>
    <t>Project Status</t>
  </si>
  <si>
    <t>Comment</t>
  </si>
  <si>
    <t>Start Date</t>
  </si>
  <si>
    <t>Current Date</t>
  </si>
  <si>
    <t>Initial Time</t>
  </si>
  <si>
    <t>Tracked Time</t>
  </si>
  <si>
    <t>Variable</t>
  </si>
  <si>
    <t>Value</t>
  </si>
  <si>
    <t>Task List</t>
  </si>
  <si>
    <t>Owner</t>
  </si>
  <si>
    <t>Company</t>
  </si>
  <si>
    <t>Ethan Li</t>
  </si>
  <si>
    <t>Spark</t>
  </si>
  <si>
    <t>General/Internal Meeting/</t>
  </si>
  <si>
    <t>General/Admin/</t>
  </si>
  <si>
    <t>General/Break/</t>
  </si>
  <si>
    <t>OVERVIEW</t>
  </si>
  <si>
    <t>FORNIGHTLY SUMMARY</t>
  </si>
  <si>
    <t>PROJECT SUMMARY</t>
  </si>
  <si>
    <t>SETTINGS</t>
  </si>
  <si>
    <t>SOURCE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</si>
</sst>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/mm/yyyy;@"/>
    <numFmt numFmtId="165" formatCode="hh:mm:ss"/>
  </numFmts>
  <fonts count="5" x14ac:knownFonts="1">
    <font>
      <sz val="11"/>
      <color theme="1"/>
      <name val="Tw Cen MT"/>
      <family val="2"/>
      <scheme val="minor"/>
    </font>
    <font>
      <b/>
      <sz val="14"/>
      <color theme="0"/>
      <name val="Tw Cen MT"/>
      <family val="2"/>
      <scheme val="minor"/>
    </font>
    <font>
      <b/>
      <sz val="11"/>
      <color theme="4"/>
      <name val="Tw Cen MT"/>
      <family val="2"/>
      <scheme val="minor"/>
    </font>
    <font>
      <b/>
      <sz val="20"/>
      <color theme="4"/>
      <name val="Tw Cen MT"/>
      <family val="2"/>
      <scheme val="minor"/>
    </font>
    <font>
      <b/>
      <u/>
      <sz val="11"/>
      <color theme="0"/>
      <name val="Tw Cen MT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 applyAlignment="1">
      <alignment vertical="center"/>
    </xf>
    <xf numFmtId="0" fontId="0" fillId="0" borderId="2" xfId="0" applyBorder="1"/>
    <xf numFmtId="0" fontId="0" fillId="0" borderId="3" xfId="0" applyBorder="1" applyAlignment="1">
      <alignment vertical="center"/>
    </xf>
    <xf numFmtId="164" fontId="0" fillId="2" borderId="4" xfId="0" applyNumberFormat="1" applyFont="1" applyFill="1" applyBorder="1" applyAlignment="1">
      <alignment vertical="center"/>
    </xf>
    <xf numFmtId="0" fontId="0" fillId="0" borderId="5" xfId="0" applyNumberFormat="1" applyBorder="1" applyAlignment="1">
      <alignment horizontal="left" vertical="center"/>
    </xf>
    <xf numFmtId="18" fontId="0" fillId="2" borderId="6" xfId="0" applyNumberFormat="1" applyFont="1" applyFill="1" applyBorder="1" applyAlignment="1">
      <alignment vertical="center"/>
    </xf>
    <xf numFmtId="2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2" borderId="6" xfId="0" applyFont="1" applyFill="1" applyBorder="1" applyAlignment="1">
      <alignment vertical="center" wrapText="1"/>
    </xf>
    <xf numFmtId="0" fontId="0" fillId="2" borderId="7" xfId="0" applyFont="1" applyFill="1" applyBorder="1" applyAlignment="1">
      <alignment wrapText="1"/>
    </xf>
    <xf numFmtId="14" fontId="0" fillId="0" borderId="0" xfId="0" applyNumberFormat="1"/>
    <xf numFmtId="165" fontId="0" fillId="0" borderId="0" xfId="0" applyNumberFormat="1"/>
    <xf numFmtId="0" fontId="1" fillId="3" borderId="0" xfId="0" applyFont="1" applyFill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2" fillId="0" borderId="8" xfId="0" applyFont="1" applyBorder="1" applyAlignment="1">
      <alignment horizontal="left"/>
    </xf>
    <xf numFmtId="0" fontId="2" fillId="0" borderId="8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4" fillId="3" borderId="0" xfId="0" applyFont="1" applyFill="1" applyAlignment="1">
      <alignment horizontal="center"/>
    </xf>
  </cellXfs>
  <cellStyles count="1">
    <cellStyle name="Normal" xfId="0" builtinId="0"/>
  </cellStyles>
  <dxfs count="17">
    <dxf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5" formatCode="h:mm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23" formatCode="h:mm\ AM/PM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d/mm/yyyy;@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textRotation="0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orkspace/Time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Page"/>
      <sheetName val="Change Log"/>
      <sheetName val="Time Sheet"/>
      <sheetName val="Task List"/>
      <sheetName val="Overview"/>
      <sheetName val="Fortnightly Summary"/>
      <sheetName val="Project Summary"/>
      <sheetName val="Timesheet"/>
    </sheetNames>
    <sheetDataSet>
      <sheetData sheetId="0"/>
      <sheetData sheetId="1"/>
      <sheetData sheetId="2"/>
      <sheetData sheetId="3">
        <row r="2">
          <cell r="D2">
            <v>42548</v>
          </cell>
        </row>
      </sheetData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id="2" name="TABLE_PARAM_SYS" displayName="TABLE_PARAM_SYS" ref="A1:B4" totalsRowShown="0">
  <autoFilter ref="A1:B4"/>
  <tableColumns count="2">
    <tableColumn id="1" name="Variable"/>
    <tableColumn id="2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_SOURCE" displayName="TABLE_SOURCE" ref="A3:L4" totalsRowShown="0" headerRowDxfId="16" dataDxfId="14" headerRowBorderDxfId="15" tableBorderDxfId="13" totalsRowBorderDxfId="12">
  <tableColumns count="12">
    <tableColumn id="1" name="Date" dataDxfId="11"/>
    <tableColumn id="2" name="DoW" dataDxfId="10">
      <calculatedColumnFormula>TEXT(TABLE_SOURCE[[#This Row],[Date]], "dddd")</calculatedColumnFormula>
    </tableColumn>
    <tableColumn id="3" name="Start" dataDxfId="9"/>
    <tableColumn id="4" name="End" dataDxfId="8"/>
    <tableColumn id="5" name="Duration" dataDxfId="7">
      <calculatedColumnFormula>TABLE_SOURCE[[#This Row],[End]]-TABLE_SOURCE[[#This Row],[Start]]</calculatedColumnFormula>
    </tableColumn>
    <tableColumn id="6" name="Week" dataDxfId="6">
      <calculatedColumnFormula>"Week " &amp; INT((TABLE_SOURCE[[#This Row],[Date]]-USER_INIT_TIME)/7)</calculatedColumnFormula>
    </tableColumn>
    <tableColumn id="7" name="Month" dataDxfId="5">
      <calculatedColumnFormula>YEAR(TABLE_SOURCE[Date]) &amp; "-" &amp; MONTH(TABLE_SOURCE[Date])</calculatedColumnFormula>
    </tableColumn>
    <tableColumn id="8" name="Task" dataDxfId="4"/>
    <tableColumn id="9" name="Project Type" dataDxfId="3">
      <calculatedColumnFormula>IF(ISERROR(FIND("/",TABLE_SOURCE[Task])),H4,MID(TABLE_SOURCE[Task],1,FIND("/",TABLE_SOURCE[Task])-1))</calculatedColumnFormula>
    </tableColumn>
    <tableColumn id="10" name="Project Code" dataDxfId="2">
      <calculatedColumnFormula>IF(ISERROR(FIND("/",TABLE_SOURCE[Task],FIND("/",TABLE_SOURCE[Task])+1)),"N/A",MID(TABLE_SOURCE[Task],FIND("/",TABLE_SOURCE[Task])+1,FIND("/",TABLE_SOURCE[Task],FIND("/",TABLE_SOURCE[Task])+1)-FIND("/",TABLE_SOURCE[Task],1)-1))</calculatedColumnFormula>
    </tableColumn>
    <tableColumn id="11" name="Project Status" dataDxfId="1">
      <calculatedColumnFormula>IF(ISERROR(FIND(";",TABLE_SOURCE[Task])),"N/A",MID(TABLE_SOURCE[Task],FIND("/",TABLE_SOURCE[Task],FIND("/",TABLE_SOURCE[Task])+1)+1,FIND(";",TABLE_SOURCE[Task]) -1 -FIND("/",TABLE_SOURCE[Task],FIND("/",TABLE_SOURCE[Task])+1)))</calculatedColumnFormula>
    </tableColumn>
    <tableColumn id="12" name="Comment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_PARAM_USER" displayName="TABLE_PARAM_USER" ref="C2:D5" totalsRowShown="0">
  <autoFilter ref="C2:D5"/>
  <tableColumns count="2">
    <tableColumn id="1" name="Variable"/>
    <tableColumn id="2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TASK" displayName="TABLE_TASK" ref="A2:A5" totalsRowShown="0">
  <autoFilter ref="A2:A5"/>
  <tableColumns count="1">
    <tableColumn id="1" name="Task Li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Droplet">
  <a:themeElements>
    <a:clrScheme name="Droplet">
      <a:dk1>
        <a:sysClr val="windowText" lastClr="000000"/>
      </a:dk1>
      <a:lt1>
        <a:sysClr val="window" lastClr="FFFFFF"/>
      </a:lt1>
      <a:dk2>
        <a:srgbClr val="355071"/>
      </a:dk2>
      <a:lt2>
        <a:srgbClr val="AABED7"/>
      </a:lt2>
      <a:accent1>
        <a:srgbClr val="2FA3EE"/>
      </a:accent1>
      <a:accent2>
        <a:srgbClr val="4BCAAD"/>
      </a:accent2>
      <a:accent3>
        <a:srgbClr val="86C157"/>
      </a:accent3>
      <a:accent4>
        <a:srgbClr val="D99C3F"/>
      </a:accent4>
      <a:accent5>
        <a:srgbClr val="CE6633"/>
      </a:accent5>
      <a:accent6>
        <a:srgbClr val="A35DD1"/>
      </a:accent6>
      <a:hlink>
        <a:srgbClr val="56BCFE"/>
      </a:hlink>
      <a:folHlink>
        <a:srgbClr val="97C5E3"/>
      </a:folHlink>
    </a:clrScheme>
    <a:fontScheme name="Drople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Droplet">
      <a:fillStyleLst>
        <a:solidFill>
          <a:schemeClr val="phClr"/>
        </a:solidFill>
        <a:solidFill>
          <a:schemeClr val="phClr">
            <a:tint val="69000"/>
            <a:satMod val="105000"/>
            <a:lumMod val="110000"/>
          </a:schemeClr>
        </a:solidFill>
        <a:gradFill rotWithShape="1">
          <a:gsLst>
            <a:gs pos="0">
              <a:schemeClr val="phClr">
                <a:tint val="94000"/>
                <a:satMod val="100000"/>
                <a:lumMod val="108000"/>
              </a:schemeClr>
            </a:gs>
            <a:gs pos="50000">
              <a:schemeClr val="phClr">
                <a:tint val="98000"/>
                <a:shade val="100000"/>
                <a:satMod val="100000"/>
                <a:lumMod val="100000"/>
              </a:schemeClr>
            </a:gs>
            <a:gs pos="100000">
              <a:schemeClr val="phClr">
                <a:shade val="72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>
              <a:shade val="60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63500" dist="25400" dir="5400000" algn="ctr" rotWithShape="0">
              <a:srgbClr val="000000">
                <a:alpha val="69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1200000"/>
            </a:lightRig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64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100000"/>
                <a:hueMod val="130000"/>
                <a:satMod val="150000"/>
                <a:lumMod val="112000"/>
              </a:schemeClr>
            </a:gs>
            <a:gs pos="100000">
              <a:schemeClr val="phClr">
                <a:shade val="92000"/>
                <a:satMod val="140000"/>
                <a:lumMod val="11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roplet" id="{8984A317-299A-4E50-B45D-BFC9EDE2337A}" vid="{A633B6A3-9E7F-4C10-9C98-2517A3134361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"/>
  <sheetViews>
    <sheetView zoomScale="115" zoomScaleNormal="115" workbookViewId="0">
      <selection activeCell="A12" sqref="A12"/>
    </sheetView>
  </sheetViews>
  <sheetFormatPr defaultRowHeight="14.25" x14ac:dyDescent="0.2"/>
  <cols>
    <col min="1" max="1" width="9" customWidth="1"/>
  </cols>
  <sheetData>
    <row r="1" spans="1:13" x14ac:dyDescent="0.2">
      <c r="A1" s="14">
        <f ca="1">YEAR(SYS_DATE)</f>
        <v>2016</v>
      </c>
      <c r="B1" s="15" t="str">
        <f ca="1">UPPER(TEXT(SYS_DATE, "mmmm")) &amp; "-" &amp; TEXT(SYS_DATE, "dd")</f>
        <v>SEPTEMBER-05</v>
      </c>
      <c r="C1" s="15"/>
      <c r="D1" s="15"/>
      <c r="K1" s="19" t="str">
        <f>USER_NAME</f>
        <v>Ethan Li</v>
      </c>
      <c r="L1" s="19"/>
      <c r="M1" s="19"/>
    </row>
    <row r="2" spans="1:13" x14ac:dyDescent="0.2">
      <c r="A2" s="14"/>
      <c r="B2" s="16"/>
      <c r="C2" s="16"/>
      <c r="D2" s="16"/>
      <c r="K2" s="20"/>
      <c r="L2" s="20"/>
      <c r="M2" s="20"/>
    </row>
    <row r="3" spans="1:13" x14ac:dyDescent="0.2">
      <c r="B3" s="17" t="str">
        <f ca="1" xml:space="preserve"> "(Week " &amp;  INT((SYS_DATE-USER_INIT_TIME)/7) &amp; ")"</f>
        <v>(Week 0)</v>
      </c>
      <c r="C3" s="17"/>
      <c r="K3" s="18" t="str">
        <f>USER_COMPANY</f>
        <v>Spark</v>
      </c>
      <c r="L3" s="18"/>
      <c r="M3" s="18"/>
    </row>
    <row r="5" spans="1:13" x14ac:dyDescent="0.2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</row>
    <row r="6" spans="1:13" x14ac:dyDescent="0.2">
      <c r="A6" s="22" t="s">
        <v>26</v>
      </c>
      <c r="B6" s="22"/>
      <c r="C6" s="22" t="s">
        <v>27</v>
      </c>
      <c r="D6" s="22"/>
      <c r="E6" s="22"/>
      <c r="F6" s="22" t="s">
        <v>28</v>
      </c>
      <c r="G6" s="22"/>
      <c r="H6" s="22"/>
      <c r="I6" s="22" t="s">
        <v>29</v>
      </c>
      <c r="J6" s="22"/>
      <c r="K6" s="22" t="s">
        <v>30</v>
      </c>
      <c r="L6" s="22"/>
      <c r="M6" s="22"/>
    </row>
    <row r="7" spans="1:13" x14ac:dyDescent="0.2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</row>
  </sheetData>
  <mergeCells count="12">
    <mergeCell ref="A6:B6"/>
    <mergeCell ref="C6:E6"/>
    <mergeCell ref="F6:H6"/>
    <mergeCell ref="I6:J6"/>
    <mergeCell ref="K6:M6"/>
    <mergeCell ref="A5:M5"/>
    <mergeCell ref="A7:M7"/>
    <mergeCell ref="A1:A2"/>
    <mergeCell ref="B1:D2"/>
    <mergeCell ref="B3:C3"/>
    <mergeCell ref="K1:M2"/>
    <mergeCell ref="K3:M3"/>
  </mergeCells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tabSelected="1" workbookViewId="0">
      <selection activeCell="B1" sqref="B1"/>
    </sheetView>
  </sheetViews>
  <sheetFormatPr defaultRowHeight="14.25" x14ac:dyDescent="0.2"/>
  <cols>
    <col min="1" max="1" width="11" bestFit="1" customWidth="1"/>
    <col min="2" max="2" width="10.75" bestFit="1" customWidth="1"/>
  </cols>
  <sheetData>
    <row r="1" spans="1:2" x14ac:dyDescent="0.2">
      <c r="A1" t="s">
        <v>16</v>
      </c>
      <c r="B1" t="s">
        <v>17</v>
      </c>
    </row>
    <row r="2" spans="1:2" x14ac:dyDescent="0.2">
      <c r="A2" t="s">
        <v>13</v>
      </c>
      <c r="B2" s="12">
        <f ca="1">TODAY()</f>
        <v>42618</v>
      </c>
    </row>
    <row r="3" spans="1:2" x14ac:dyDescent="0.2">
      <c r="A3" t="s">
        <v>14</v>
      </c>
      <c r="B3" s="13">
        <v>0</v>
      </c>
    </row>
    <row r="4" spans="1:2" x14ac:dyDescent="0.2">
      <c r="A4" t="s">
        <v>15</v>
      </c>
      <c r="B4" s="13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4"/>
  <sheetViews>
    <sheetView zoomScale="85" zoomScaleNormal="85" workbookViewId="0">
      <selection activeCell="F4" sqref="F4"/>
    </sheetView>
  </sheetViews>
  <sheetFormatPr defaultColWidth="10.625" defaultRowHeight="14.25" x14ac:dyDescent="0.2"/>
  <cols>
    <col min="1" max="1" width="9.875" bestFit="1" customWidth="1"/>
    <col min="2" max="2" width="7.875" bestFit="1" customWidth="1"/>
    <col min="9" max="9" width="10.375" bestFit="1" customWidth="1"/>
    <col min="11" max="11" width="11.25" bestFit="1" customWidth="1"/>
  </cols>
  <sheetData>
    <row r="3" spans="1:12" x14ac:dyDescent="0.2">
      <c r="A3" s="1" t="s">
        <v>0</v>
      </c>
      <c r="B3" s="2" t="s">
        <v>1</v>
      </c>
      <c r="C3" s="3" t="s">
        <v>2</v>
      </c>
      <c r="D3" s="3" t="s">
        <v>3</v>
      </c>
      <c r="E3" s="2" t="s">
        <v>4</v>
      </c>
      <c r="F3" s="2" t="s">
        <v>5</v>
      </c>
      <c r="G3" s="2" t="s">
        <v>6</v>
      </c>
      <c r="H3" s="3" t="s">
        <v>7</v>
      </c>
      <c r="I3" s="3" t="s">
        <v>8</v>
      </c>
      <c r="J3" s="2" t="s">
        <v>9</v>
      </c>
      <c r="K3" s="2" t="s">
        <v>10</v>
      </c>
      <c r="L3" s="4" t="s">
        <v>11</v>
      </c>
    </row>
    <row r="4" spans="1:12" x14ac:dyDescent="0.2">
      <c r="A4" s="5"/>
      <c r="B4" s="6" t="str">
        <f>TEXT(TABLE_SOURCE[[#This Row],[Date]], "dddd")</f>
        <v>Saturday</v>
      </c>
      <c r="C4" s="7"/>
      <c r="D4" s="7"/>
      <c r="E4" s="8">
        <f>TABLE_SOURCE[[#This Row],[End]]-TABLE_SOURCE[[#This Row],[Start]]</f>
        <v>0</v>
      </c>
      <c r="F4" s="6" t="str">
        <f>"Week " &amp; INT((TABLE_SOURCE[[#This Row],[Date]]-USER_INIT_TIME)/7)</f>
        <v>Week -6089</v>
      </c>
      <c r="G4" s="9" t="str">
        <f>YEAR(TABLE_SOURCE[Date]) &amp; "-" &amp; MONTH(TABLE_SOURCE[Date])</f>
        <v>1900-1</v>
      </c>
      <c r="H4" s="10"/>
      <c r="I4" s="9">
        <f>IF(ISERROR(FIND("/",TABLE_SOURCE[Task])),H4,MID(TABLE_SOURCE[Task],1,FIND("/",TABLE_SOURCE[Task])-1))</f>
        <v>0</v>
      </c>
      <c r="J4" s="9" t="str">
        <f>IF(ISERROR(FIND("/",TABLE_SOURCE[Task],FIND("/",TABLE_SOURCE[Task])+1)),"N/A",MID(TABLE_SOURCE[Task],FIND("/",TABLE_SOURCE[Task])+1,FIND("/",TABLE_SOURCE[Task],FIND("/",TABLE_SOURCE[Task])+1)-FIND("/",TABLE_SOURCE[Task],1)-1))</f>
        <v>N/A</v>
      </c>
      <c r="K4" s="9" t="str">
        <f>IF(ISERROR(FIND(";",TABLE_SOURCE[Task])),"N/A",MID(TABLE_SOURCE[Task],FIND("/",TABLE_SOURCE[Task],FIND("/",TABLE_SOURCE[Task])+1)+1,FIND(";",TABLE_SOURCE[Task]) -1 -FIND("/",TABLE_SOURCE[Task],FIND("/",TABLE_SOURCE[Task])+1)))</f>
        <v>N/A</v>
      </c>
      <c r="L4" s="11"/>
    </row>
  </sheetData>
  <dataValidations count="1">
    <dataValidation type="list" allowBlank="1" showInputMessage="1" showErrorMessage="1" sqref="H4">
      <formula1>TASK_VALIDATION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5"/>
  <sheetViews>
    <sheetView workbookViewId="0"/>
  </sheetViews>
  <sheetFormatPr defaultRowHeight="14.25" x14ac:dyDescent="0.2"/>
  <cols>
    <col min="1" max="1" width="22" bestFit="1" customWidth="1"/>
    <col min="3" max="3" width="9.625" bestFit="1" customWidth="1"/>
    <col min="4" max="4" width="9.875" bestFit="1" customWidth="1"/>
  </cols>
  <sheetData>
    <row r="2" spans="1:4" x14ac:dyDescent="0.2">
      <c r="A2" t="s">
        <v>18</v>
      </c>
      <c r="C2" t="s">
        <v>16</v>
      </c>
      <c r="D2" t="s">
        <v>17</v>
      </c>
    </row>
    <row r="3" spans="1:4" x14ac:dyDescent="0.2">
      <c r="A3" t="s">
        <v>23</v>
      </c>
      <c r="C3" t="s">
        <v>12</v>
      </c>
      <c r="D3" s="12">
        <v>42617</v>
      </c>
    </row>
    <row r="4" spans="1:4" x14ac:dyDescent="0.2">
      <c r="A4" t="s">
        <v>24</v>
      </c>
      <c r="C4" t="s">
        <v>19</v>
      </c>
      <c r="D4" t="s">
        <v>21</v>
      </c>
    </row>
    <row r="5" spans="1:4" x14ac:dyDescent="0.2">
      <c r="A5" t="s">
        <v>25</v>
      </c>
      <c r="C5" t="s">
        <v>20</v>
      </c>
      <c r="D5" t="s">
        <v>22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Input Page</vt:lpstr>
      <vt:lpstr>System Variables</vt:lpstr>
      <vt:lpstr>Timesheet</vt:lpstr>
      <vt:lpstr>Settings</vt:lpstr>
      <vt:lpstr>SYS_DATE</vt:lpstr>
      <vt:lpstr>SYS_TIME_REC_CURR</vt:lpstr>
      <vt:lpstr>SYS_TIME_REC_INIT</vt:lpstr>
      <vt:lpstr>TASK_VALIDATION</vt:lpstr>
      <vt:lpstr>USER_COMPANY</vt:lpstr>
      <vt:lpstr>USER_INIT_TIME</vt:lpstr>
      <vt:lpstr>USER_NAME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Li</dc:creator>
  <cp:lastModifiedBy>Ethan Li</cp:lastModifiedBy>
  <dcterms:created xsi:type="dcterms:W3CDTF">2016-08-22T11:58:01Z</dcterms:created>
  <dcterms:modified xsi:type="dcterms:W3CDTF">2016-09-04T12:05:32Z</dcterms:modified>
</cp:coreProperties>
</file>