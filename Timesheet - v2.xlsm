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ceth\Dropbox\Working Space\General\Tools\Productivity\Timesheet\"/>
    </mc:Choice>
  </mc:AlternateContent>
  <bookViews>
    <workbookView xWindow="0" yWindow="0" windowWidth="12165" windowHeight="9480"/>
  </bookViews>
  <sheets>
    <sheet name="Input Page" sheetId="1" r:id="rId1"/>
    <sheet name="System Variables" sheetId="3" state="hidden" r:id="rId2"/>
    <sheet name="Timesheet" sheetId="2" r:id="rId3"/>
    <sheet name="Settings" sheetId="4" r:id="rId4"/>
    <sheet name="Overview" sheetId="5" r:id="rId5"/>
  </sheets>
  <externalReferences>
    <externalReference r:id="rId6"/>
  </externalReferences>
  <definedNames>
    <definedName name="INITIAL_DATE">'[1]Task List'!$D$2</definedName>
    <definedName name="SYS_DATE">'System Variables'!$B$2</definedName>
    <definedName name="SYS_TIME_END">'System Variables'!$B$6</definedName>
    <definedName name="SYS_TIME_REC_CURR">'System Variables'!$B$4</definedName>
    <definedName name="SYS_TIME_REC_INIT">'System Variables'!$B$3</definedName>
    <definedName name="SYS_TIME_START">'System Variables'!$B$5</definedName>
    <definedName name="TASK_VALIDATION">TABLE_TASK[]</definedName>
    <definedName name="USER_COMPANY">Settings!$D$5</definedName>
    <definedName name="USER_INIT_TIME">Settings!$D$3</definedName>
    <definedName name="USER_NAME">Settings!$D$4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G3" i="1" l="1"/>
  <c r="G1" i="1"/>
  <c r="B2" i="3" l="1"/>
  <c r="B1" i="1" l="1"/>
  <c r="B3" i="1"/>
  <c r="A1" i="1"/>
  <c r="K4" i="2"/>
  <c r="J4" i="2"/>
  <c r="I4" i="2"/>
  <c r="G4" i="2"/>
  <c r="E4" i="2"/>
  <c r="B4" i="2"/>
</calcChain>
</file>

<file path=xl/sharedStrings.xml><?xml version="1.0" encoding="utf-8"?>
<sst xmlns="http://schemas.openxmlformats.org/spreadsheetml/2006/main" count="36" uniqueCount="29">
  <si>
    <t>Date</t>
  </si>
  <si>
    <t>DoW</t>
  </si>
  <si>
    <t>Start</t>
  </si>
  <si>
    <t>End</t>
  </si>
  <si>
    <t>Duration</t>
  </si>
  <si>
    <t>Week</t>
  </si>
  <si>
    <t>Month</t>
  </si>
  <si>
    <t>Task</t>
  </si>
  <si>
    <t>Project Type</t>
  </si>
  <si>
    <t>Project Code</t>
  </si>
  <si>
    <t>Project Status</t>
  </si>
  <si>
    <t>Comment</t>
  </si>
  <si>
    <t>Start Date</t>
  </si>
  <si>
    <t>Current Date</t>
  </si>
  <si>
    <t>Initial Time</t>
  </si>
  <si>
    <t>Tracked Time</t>
  </si>
  <si>
    <t>Variable</t>
  </si>
  <si>
    <t>Value</t>
  </si>
  <si>
    <t>Task List</t>
  </si>
  <si>
    <t>Owner</t>
  </si>
  <si>
    <t>Company</t>
  </si>
  <si>
    <t>Ethan Li</t>
  </si>
  <si>
    <t>General/Internal Meeting/</t>
  </si>
  <si>
    <t>General/Admin/</t>
  </si>
  <si>
    <t>General/Break/</t>
  </si>
  <si>
    <t>Delete</t>
  </si>
  <si>
    <t>Spark Connect</t>
  </si>
  <si>
    <t>Start Time</t>
  </si>
  <si>
    <t>End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</si>
</sst>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m/yyyy;@"/>
    <numFmt numFmtId="165" formatCode="hh:mm:ss"/>
  </numFmts>
  <fonts count="5" x14ac:knownFonts="1">
    <font>
      <sz val="11"/>
      <color theme="1"/>
      <name val="Tw Cen MT"/>
      <family val="2"/>
      <scheme val="minor"/>
    </font>
    <font>
      <b/>
      <sz val="14"/>
      <color theme="0"/>
      <name val="Tw Cen MT"/>
      <family val="2"/>
      <scheme val="minor"/>
    </font>
    <font>
      <b/>
      <sz val="11"/>
      <color theme="4"/>
      <name val="Tw Cen MT"/>
      <family val="2"/>
      <scheme val="minor"/>
    </font>
    <font>
      <b/>
      <sz val="20"/>
      <color theme="4"/>
      <name val="Tw Cen MT"/>
      <family val="2"/>
      <scheme val="minor"/>
    </font>
    <font>
      <sz val="9"/>
      <color theme="1"/>
      <name val="Tw Cen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3" xfId="0" applyBorder="1" applyAlignment="1">
      <alignment vertical="center"/>
    </xf>
    <xf numFmtId="14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4" fontId="4" fillId="0" borderId="10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1" xfId="0" applyFont="1" applyBorder="1" applyAlignment="1">
      <alignment horizontal="left"/>
    </xf>
    <xf numFmtId="164" fontId="4" fillId="2" borderId="4" xfId="0" applyNumberFormat="1" applyFont="1" applyFill="1" applyBorder="1" applyAlignment="1">
      <alignment vertical="center"/>
    </xf>
    <xf numFmtId="0" fontId="4" fillId="0" borderId="5" xfId="0" applyNumberFormat="1" applyFont="1" applyBorder="1" applyAlignment="1">
      <alignment horizontal="left" vertical="center"/>
    </xf>
    <xf numFmtId="18" fontId="4" fillId="2" borderId="6" xfId="0" applyNumberFormat="1" applyFont="1" applyFill="1" applyBorder="1" applyAlignment="1">
      <alignment vertical="center"/>
    </xf>
    <xf numFmtId="20" fontId="4" fillId="0" borderId="5" xfId="0" applyNumberFormat="1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2" borderId="6" xfId="0" applyFont="1" applyFill="1" applyBorder="1" applyAlignment="1">
      <alignment vertical="center" wrapText="1"/>
    </xf>
    <xf numFmtId="0" fontId="4" fillId="2" borderId="7" xfId="0" applyFont="1" applyFill="1" applyBorder="1" applyAlignment="1">
      <alignment wrapText="1"/>
    </xf>
    <xf numFmtId="0" fontId="4" fillId="0" borderId="5" xfId="0" applyFont="1" applyBorder="1" applyAlignment="1">
      <alignment horizontal="left" wrapText="1"/>
    </xf>
    <xf numFmtId="18" fontId="4" fillId="0" borderId="5" xfId="0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Border="1" applyAlignment="1">
      <alignment horizontal="right" vertical="center"/>
    </xf>
    <xf numFmtId="0" fontId="1" fillId="3" borderId="9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2" fillId="0" borderId="8" xfId="0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8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8"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164" formatCode="d/mm/yyyy;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left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numFmt numFmtId="19" formatCode="d/mm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border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13586</xdr:colOff>
      <xdr:row>8</xdr:row>
      <xdr:rowOff>16167</xdr:rowOff>
    </xdr:from>
    <xdr:to>
      <xdr:col>1</xdr:col>
      <xdr:colOff>12081</xdr:colOff>
      <xdr:row>10</xdr:row>
      <xdr:rowOff>6325</xdr:rowOff>
    </xdr:to>
    <xdr:sp macro="[0]!TRACK_START" textlink="">
      <xdr:nvSpPr>
        <xdr:cNvPr id="27" name="Rectangle: Rounded Corners 26"/>
        <xdr:cNvSpPr/>
      </xdr:nvSpPr>
      <xdr:spPr>
        <a:xfrm>
          <a:off x="13586" y="2020558"/>
          <a:ext cx="685952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START</a:t>
          </a:r>
        </a:p>
      </xdr:txBody>
    </xdr:sp>
    <xdr:clientData/>
  </xdr:twoCellAnchor>
  <xdr:twoCellAnchor editAs="absolute">
    <xdr:from>
      <xdr:col>1</xdr:col>
      <xdr:colOff>337436</xdr:colOff>
      <xdr:row>8</xdr:row>
      <xdr:rowOff>16167</xdr:rowOff>
    </xdr:from>
    <xdr:to>
      <xdr:col>2</xdr:col>
      <xdr:colOff>335931</xdr:colOff>
      <xdr:row>10</xdr:row>
      <xdr:rowOff>6325</xdr:rowOff>
    </xdr:to>
    <xdr:sp macro="[0]!TRACK_END" textlink="">
      <xdr:nvSpPr>
        <xdr:cNvPr id="28" name="Rectangle: Rounded Corners 27"/>
        <xdr:cNvSpPr/>
      </xdr:nvSpPr>
      <xdr:spPr>
        <a:xfrm>
          <a:off x="1024893" y="2020558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END</a:t>
          </a:r>
        </a:p>
      </xdr:txBody>
    </xdr:sp>
    <xdr:clientData/>
  </xdr:twoCellAnchor>
  <xdr:twoCellAnchor editAs="absolute">
    <xdr:from>
      <xdr:col>2</xdr:col>
      <xdr:colOff>680336</xdr:colOff>
      <xdr:row>8</xdr:row>
      <xdr:rowOff>6642</xdr:rowOff>
    </xdr:from>
    <xdr:to>
      <xdr:col>3</xdr:col>
      <xdr:colOff>678830</xdr:colOff>
      <xdr:row>9</xdr:row>
      <xdr:rowOff>171425</xdr:rowOff>
    </xdr:to>
    <xdr:sp macro="[0]!LOG_MANIPULATION.ADD_ENTRY" textlink="">
      <xdr:nvSpPr>
        <xdr:cNvPr id="29" name="Rectangle: Rounded Corners 28"/>
        <xdr:cNvSpPr/>
      </xdr:nvSpPr>
      <xdr:spPr>
        <a:xfrm>
          <a:off x="2055249" y="2011033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NEW</a:t>
          </a:r>
        </a:p>
      </xdr:txBody>
    </xdr:sp>
    <xdr:clientData/>
  </xdr:twoCellAnchor>
  <xdr:twoCellAnchor editAs="absolute">
    <xdr:from>
      <xdr:col>3</xdr:col>
      <xdr:colOff>1048089</xdr:colOff>
      <xdr:row>8</xdr:row>
      <xdr:rowOff>1669</xdr:rowOff>
    </xdr:from>
    <xdr:to>
      <xdr:col>3</xdr:col>
      <xdr:colOff>1734040</xdr:colOff>
      <xdr:row>9</xdr:row>
      <xdr:rowOff>166452</xdr:rowOff>
    </xdr:to>
    <xdr:sp macro="[0]!CLEAR_ALL" textlink="">
      <xdr:nvSpPr>
        <xdr:cNvPr id="30" name="Rectangle: Rounded Corners 29"/>
        <xdr:cNvSpPr/>
      </xdr:nvSpPr>
      <xdr:spPr>
        <a:xfrm>
          <a:off x="3110459" y="2006060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</a:t>
          </a:r>
        </a:p>
      </xdr:txBody>
    </xdr:sp>
    <xdr:clientData/>
  </xdr:twoCellAnchor>
  <xdr:twoCellAnchor editAs="absolute">
    <xdr:from>
      <xdr:col>5</xdr:col>
      <xdr:colOff>356156</xdr:colOff>
      <xdr:row>8</xdr:row>
      <xdr:rowOff>5</xdr:rowOff>
    </xdr:from>
    <xdr:to>
      <xdr:col>6</xdr:col>
      <xdr:colOff>24851</xdr:colOff>
      <xdr:row>9</xdr:row>
      <xdr:rowOff>173939</xdr:rowOff>
    </xdr:to>
    <xdr:sp macro="" textlink="">
      <xdr:nvSpPr>
        <xdr:cNvPr id="32" name="Oval 31"/>
        <xdr:cNvSpPr/>
      </xdr:nvSpPr>
      <xdr:spPr>
        <a:xfrm>
          <a:off x="6344482" y="1457744"/>
          <a:ext cx="356152" cy="356152"/>
        </a:xfrm>
        <a:prstGeom prst="ellips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L</a:t>
          </a:r>
        </a:p>
      </xdr:txBody>
    </xdr:sp>
    <xdr:clientData/>
  </xdr:twoCellAnchor>
  <xdr:twoCellAnchor>
    <xdr:from>
      <xdr:col>0</xdr:col>
      <xdr:colOff>0</xdr:colOff>
      <xdr:row>4</xdr:row>
      <xdr:rowOff>107672</xdr:rowOff>
    </xdr:from>
    <xdr:to>
      <xdr:col>1</xdr:col>
      <xdr:colOff>202410</xdr:colOff>
      <xdr:row>6</xdr:row>
      <xdr:rowOff>82825</xdr:rowOff>
    </xdr:to>
    <xdr:sp macro="" textlink="">
      <xdr:nvSpPr>
        <xdr:cNvPr id="33" name="TextBox 32"/>
        <xdr:cNvSpPr txBox="1"/>
      </xdr:nvSpPr>
      <xdr:spPr>
        <a:xfrm>
          <a:off x="0" y="836542"/>
          <a:ext cx="889867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 sz="1100" b="1" u="sng">
              <a:solidFill>
                <a:schemeClr val="bg1"/>
              </a:solidFill>
            </a:rPr>
            <a:t>OVERVIEW</a:t>
          </a:r>
        </a:p>
      </xdr:txBody>
    </xdr:sp>
    <xdr:clientData/>
  </xdr:twoCellAnchor>
  <xdr:twoCellAnchor>
    <xdr:from>
      <xdr:col>1</xdr:col>
      <xdr:colOff>119146</xdr:colOff>
      <xdr:row>4</xdr:row>
      <xdr:rowOff>102699</xdr:rowOff>
    </xdr:from>
    <xdr:to>
      <xdr:col>3</xdr:col>
      <xdr:colOff>177372</xdr:colOff>
      <xdr:row>6</xdr:row>
      <xdr:rowOff>77852</xdr:rowOff>
    </xdr:to>
    <xdr:sp macro="" textlink="">
      <xdr:nvSpPr>
        <xdr:cNvPr id="34" name="TextBox 33"/>
        <xdr:cNvSpPr txBox="1"/>
      </xdr:nvSpPr>
      <xdr:spPr>
        <a:xfrm>
          <a:off x="806603" y="831569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WEEKLY SUMMARY</a:t>
          </a:r>
        </a:p>
      </xdr:txBody>
    </xdr:sp>
    <xdr:clientData/>
  </xdr:twoCellAnchor>
  <xdr:twoCellAnchor>
    <xdr:from>
      <xdr:col>3</xdr:col>
      <xdr:colOff>180432</xdr:colOff>
      <xdr:row>4</xdr:row>
      <xdr:rowOff>106007</xdr:rowOff>
    </xdr:from>
    <xdr:to>
      <xdr:col>3</xdr:col>
      <xdr:colOff>1613571</xdr:colOff>
      <xdr:row>6</xdr:row>
      <xdr:rowOff>81160</xdr:rowOff>
    </xdr:to>
    <xdr:sp macro="" textlink="">
      <xdr:nvSpPr>
        <xdr:cNvPr id="35" name="TextBox 34"/>
        <xdr:cNvSpPr txBox="1"/>
      </xdr:nvSpPr>
      <xdr:spPr>
        <a:xfrm>
          <a:off x="2242802" y="834877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PROJECT SUMMARY</a:t>
          </a:r>
        </a:p>
      </xdr:txBody>
    </xdr:sp>
    <xdr:clientData/>
  </xdr:twoCellAnchor>
  <xdr:twoCellAnchor>
    <xdr:from>
      <xdr:col>3</xdr:col>
      <xdr:colOff>1630545</xdr:colOff>
      <xdr:row>4</xdr:row>
      <xdr:rowOff>101040</xdr:rowOff>
    </xdr:from>
    <xdr:to>
      <xdr:col>4</xdr:col>
      <xdr:colOff>476537</xdr:colOff>
      <xdr:row>6</xdr:row>
      <xdr:rowOff>76193</xdr:rowOff>
    </xdr:to>
    <xdr:sp macro="" textlink="">
      <xdr:nvSpPr>
        <xdr:cNvPr id="36" name="TextBox 35"/>
        <xdr:cNvSpPr txBox="1"/>
      </xdr:nvSpPr>
      <xdr:spPr>
        <a:xfrm>
          <a:off x="3692915" y="829910"/>
          <a:ext cx="808970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SETTINGS</a:t>
          </a:r>
        </a:p>
      </xdr:txBody>
    </xdr:sp>
    <xdr:clientData/>
  </xdr:twoCellAnchor>
  <xdr:twoCellAnchor>
    <xdr:from>
      <xdr:col>4</xdr:col>
      <xdr:colOff>514349</xdr:colOff>
      <xdr:row>4</xdr:row>
      <xdr:rowOff>104351</xdr:rowOff>
    </xdr:from>
    <xdr:to>
      <xdr:col>4</xdr:col>
      <xdr:colOff>1591088</xdr:colOff>
      <xdr:row>6</xdr:row>
      <xdr:rowOff>79504</xdr:rowOff>
    </xdr:to>
    <xdr:sp macro="" textlink="">
      <xdr:nvSpPr>
        <xdr:cNvPr id="37" name="TextBox 36"/>
        <xdr:cNvSpPr txBox="1"/>
      </xdr:nvSpPr>
      <xdr:spPr>
        <a:xfrm>
          <a:off x="4539697" y="833221"/>
          <a:ext cx="10767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SOURCE DATA</a:t>
          </a:r>
        </a:p>
      </xdr:txBody>
    </xdr:sp>
    <xdr:clientData/>
  </xdr:twoCellAnchor>
  <xdr:twoCellAnchor>
    <xdr:from>
      <xdr:col>5</xdr:col>
      <xdr:colOff>279400</xdr:colOff>
      <xdr:row>12</xdr:row>
      <xdr:rowOff>25400</xdr:rowOff>
    </xdr:from>
    <xdr:to>
      <xdr:col>5</xdr:col>
      <xdr:colOff>406400</xdr:colOff>
      <xdr:row>12</xdr:row>
      <xdr:rowOff>152400</xdr:rowOff>
    </xdr:to>
    <xdr:sp macro="CLEAR_LAST_ROW" textlink="">
      <xdr:nvSpPr>
        <xdr:cNvPr id="146" name="Multiplication Sign 145"/>
        <xdr:cNvSpPr/>
      </xdr:nvSpPr>
      <xdr:spPr>
        <a:xfrm>
          <a:off x="6365875" y="21971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orkspace/Time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age"/>
      <sheetName val="Change Log"/>
      <sheetName val="Time Sheet"/>
      <sheetName val="Task List"/>
      <sheetName val="Overview"/>
      <sheetName val="Fortnightly Summary"/>
      <sheetName val="Project Summary"/>
      <sheetName val="Timesheet"/>
    </sheetNames>
    <sheetDataSet>
      <sheetData sheetId="0"/>
      <sheetData sheetId="1"/>
      <sheetData sheetId="2"/>
      <sheetData sheetId="3">
        <row r="2">
          <cell r="D2">
            <v>42548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7" name="TABLE_INPUT" displayName="TABLE_INPUT" ref="A12:F13" totalsRowShown="0" headerRowDxfId="27" dataDxfId="25" headerRowBorderDxfId="26" tableBorderDxfId="24" totalsRowBorderDxfId="23">
  <tableColumns count="6">
    <tableColumn id="1" name="Date" dataDxfId="22"/>
    <tableColumn id="2" name="Start" dataDxfId="21"/>
    <tableColumn id="3" name="End" dataDxfId="20"/>
    <tableColumn id="4" name="Task" dataDxfId="19"/>
    <tableColumn id="5" name="Comment" dataDxfId="18"/>
    <tableColumn id="6" name="Delete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PARAM_SYS" displayName="TABLE_PARAM_SYS" ref="A1:B6" totalsRowShown="0">
  <autoFilter ref="A1:B6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SOURCE" displayName="TABLE_SOURCE" ref="A3:L4" totalsRowShown="0" headerRowDxfId="16" dataDxfId="14" headerRowBorderDxfId="15" tableBorderDxfId="13" totalsRowBorderDxfId="12">
  <tableColumns count="12">
    <tableColumn id="1" name="Date" dataDxfId="11"/>
    <tableColumn id="2" name="DoW" dataDxfId="10">
      <calculatedColumnFormula>TEXT(TABLE_SOURCE[[#This Row],[Date]], "dddd")</calculatedColumnFormula>
    </tableColumn>
    <tableColumn id="3" name="Start" dataDxfId="9"/>
    <tableColumn id="4" name="End" dataDxfId="8"/>
    <tableColumn id="5" name="Duration" dataDxfId="7">
      <calculatedColumnFormula>TABLE_SOURCE[[#This Row],[End]]-TABLE_SOURCE[[#This Row],[Start]]</calculatedColumnFormula>
    </tableColumn>
    <tableColumn id="6" name="Week" dataDxfId="6">
      <calculatedColumnFormula>"Week " &amp; INT((TABLE_SOURCE[[#This Row],[Date]]-USER_INIT_TIME)/7) + 1</calculatedColumnFormula>
    </tableColumn>
    <tableColumn id="7" name="Month" dataDxfId="5">
      <calculatedColumnFormula>YEAR(TABLE_SOURCE[Date]) &amp; "-" &amp; MONTH(TABLE_SOURCE[Date])</calculatedColumnFormula>
    </tableColumn>
    <tableColumn id="8" name="Task" dataDxfId="4"/>
    <tableColumn id="9" name="Project Type" dataDxfId="3">
      <calculatedColumnFormula>IF(ISERROR(FIND("/",TABLE_SOURCE[Task])),H4,MID(TABLE_SOURCE[Task],1,FIND("/",TABLE_SOURCE[Task])-1))</calculatedColumnFormula>
    </tableColumn>
    <tableColumn id="10" name="Project Code" dataDxfId="2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1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_PARAM_USER" displayName="TABLE_PARAM_USER" ref="C2:D5" totalsRowShown="0">
  <autoFilter ref="C2:D5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_TASK" displayName="TABLE_TASK" ref="A2:A5" totalsRowShown="0">
  <autoFilter ref="A2:A5"/>
  <tableColumns count="1">
    <tableColumn id="1" name="Task Li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showGridLines="0" tabSelected="1" zoomScale="115" zoomScaleNormal="115" workbookViewId="0">
      <selection activeCell="H19" sqref="H19"/>
    </sheetView>
  </sheetViews>
  <sheetFormatPr defaultRowHeight="14.25" x14ac:dyDescent="0.2"/>
  <cols>
    <col min="1" max="1" width="9" customWidth="1"/>
    <col min="4" max="5" width="25.75" customWidth="1"/>
  </cols>
  <sheetData>
    <row r="1" spans="1:9" ht="14.25" customHeight="1" x14ac:dyDescent="0.2">
      <c r="A1" s="24">
        <f ca="1">YEAR(SYS_DATE)</f>
        <v>2016</v>
      </c>
      <c r="B1" s="26" t="str">
        <f ca="1">UPPER(TEXT(SYS_DATE, "mmmm")) &amp; "-" &amp; TEXT(SYS_DATE, "dd")</f>
        <v>SEPTEMBER-06</v>
      </c>
      <c r="C1" s="26"/>
      <c r="D1" s="26"/>
      <c r="G1" s="29" t="str">
        <f>USER_NAME</f>
        <v>Ethan Li</v>
      </c>
      <c r="H1" s="29"/>
      <c r="I1" s="29"/>
    </row>
    <row r="2" spans="1:9" ht="14.25" customHeight="1" x14ac:dyDescent="0.2">
      <c r="A2" s="25"/>
      <c r="B2" s="27"/>
      <c r="C2" s="27"/>
      <c r="D2" s="27"/>
      <c r="G2" s="30"/>
      <c r="H2" s="30"/>
      <c r="I2" s="30"/>
    </row>
    <row r="3" spans="1:9" x14ac:dyDescent="0.2">
      <c r="B3" s="28" t="str">
        <f ca="1" xml:space="preserve"> "(Week " &amp;  INT((SYS_DATE-USER_INIT_TIME)/7) + 1 &amp; ")"</f>
        <v>(Week 1)</v>
      </c>
      <c r="C3" s="28"/>
      <c r="G3" s="31" t="str">
        <f>USER_COMPANY</f>
        <v>Spark Connect</v>
      </c>
      <c r="H3" s="31"/>
      <c r="I3" s="31"/>
    </row>
    <row r="5" spans="1:9" x14ac:dyDescent="0.2">
      <c r="A5" s="23"/>
      <c r="B5" s="23"/>
      <c r="C5" s="23"/>
      <c r="D5" s="23"/>
      <c r="E5" s="23"/>
      <c r="F5" s="23"/>
      <c r="G5" s="23"/>
      <c r="H5" s="23"/>
      <c r="I5" s="23"/>
    </row>
    <row r="6" spans="1:9" x14ac:dyDescent="0.2">
      <c r="A6" s="23"/>
      <c r="B6" s="23"/>
      <c r="C6" s="23"/>
      <c r="D6" s="23"/>
      <c r="E6" s="23"/>
      <c r="F6" s="23"/>
      <c r="G6" s="23"/>
      <c r="H6" s="23"/>
      <c r="I6" s="23"/>
    </row>
    <row r="7" spans="1:9" x14ac:dyDescent="0.2">
      <c r="A7" s="23"/>
      <c r="B7" s="23"/>
      <c r="C7" s="23"/>
      <c r="D7" s="23"/>
      <c r="E7" s="23"/>
      <c r="F7" s="23"/>
      <c r="G7" s="23"/>
      <c r="H7" s="23"/>
      <c r="I7" s="23"/>
    </row>
    <row r="8" spans="1:9" x14ac:dyDescent="0.2">
      <c r="A8" s="7"/>
      <c r="B8" s="7"/>
      <c r="C8" s="7"/>
      <c r="E8" s="7"/>
      <c r="F8" s="7"/>
    </row>
    <row r="9" spans="1:9" x14ac:dyDescent="0.2">
      <c r="A9" s="7"/>
      <c r="B9" s="7"/>
      <c r="C9" s="7"/>
      <c r="E9" s="7"/>
      <c r="F9" s="7"/>
    </row>
    <row r="10" spans="1:9" x14ac:dyDescent="0.2">
      <c r="A10" s="7"/>
      <c r="B10" s="7"/>
      <c r="C10" s="7"/>
      <c r="E10" s="7"/>
      <c r="F10" s="7"/>
    </row>
    <row r="12" spans="1:9" x14ac:dyDescent="0.2">
      <c r="A12" s="8" t="s">
        <v>0</v>
      </c>
      <c r="B12" s="9" t="s">
        <v>2</v>
      </c>
      <c r="C12" s="9" t="s">
        <v>3</v>
      </c>
      <c r="D12" s="9" t="s">
        <v>7</v>
      </c>
      <c r="E12" s="9" t="s">
        <v>11</v>
      </c>
      <c r="F12" s="10" t="s">
        <v>25</v>
      </c>
    </row>
    <row r="13" spans="1:9" x14ac:dyDescent="0.2">
      <c r="A13" s="11"/>
      <c r="B13" s="22"/>
      <c r="C13" s="22"/>
      <c r="D13" s="12"/>
      <c r="E13" s="21"/>
      <c r="F13" s="13"/>
    </row>
    <row r="17" spans="5:5" x14ac:dyDescent="0.2">
      <c r="E17" s="33"/>
    </row>
  </sheetData>
  <mergeCells count="6">
    <mergeCell ref="A5:I7"/>
    <mergeCell ref="A1:A2"/>
    <mergeCell ref="B1:D2"/>
    <mergeCell ref="B3:C3"/>
    <mergeCell ref="G1:I2"/>
    <mergeCell ref="G3:I3"/>
  </mergeCells>
  <dataValidations count="1">
    <dataValidation type="list" allowBlank="1" showInputMessage="1" showErrorMessage="1" sqref="D13">
      <formula1>TASK_VALIDATION</formula1>
    </dataValidation>
  </dataValidations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G6" sqref="G6"/>
    </sheetView>
  </sheetViews>
  <sheetFormatPr defaultRowHeight="14.25" x14ac:dyDescent="0.2"/>
  <cols>
    <col min="1" max="1" width="11" bestFit="1" customWidth="1"/>
    <col min="2" max="2" width="10.75" bestFit="1" customWidth="1"/>
  </cols>
  <sheetData>
    <row r="1" spans="1:2" x14ac:dyDescent="0.2">
      <c r="A1" t="s">
        <v>16</v>
      </c>
      <c r="B1" t="s">
        <v>17</v>
      </c>
    </row>
    <row r="2" spans="1:2" x14ac:dyDescent="0.2">
      <c r="A2" t="s">
        <v>13</v>
      </c>
      <c r="B2" s="5">
        <f ca="1">TODAY()</f>
        <v>42619</v>
      </c>
    </row>
    <row r="3" spans="1:2" x14ac:dyDescent="0.2">
      <c r="A3" t="s">
        <v>14</v>
      </c>
      <c r="B3" s="6">
        <v>0</v>
      </c>
    </row>
    <row r="4" spans="1:2" x14ac:dyDescent="0.2">
      <c r="A4" t="s">
        <v>15</v>
      </c>
      <c r="B4" s="6">
        <v>0</v>
      </c>
    </row>
    <row r="5" spans="1:2" x14ac:dyDescent="0.2">
      <c r="A5" t="s">
        <v>27</v>
      </c>
      <c r="B5" s="32">
        <v>0</v>
      </c>
    </row>
    <row r="6" spans="1:2" x14ac:dyDescent="0.2">
      <c r="A6" t="s">
        <v>28</v>
      </c>
      <c r="B6" s="32">
        <v>0.99930555555555556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4"/>
  <sheetViews>
    <sheetView zoomScaleNormal="100" workbookViewId="0">
      <selection activeCell="F32" sqref="F32"/>
    </sheetView>
  </sheetViews>
  <sheetFormatPr defaultColWidth="10.625" defaultRowHeight="14.25" x14ac:dyDescent="0.2"/>
  <cols>
    <col min="1" max="1" width="9.875" bestFit="1" customWidth="1"/>
    <col min="2" max="2" width="7.875" bestFit="1" customWidth="1"/>
    <col min="9" max="9" width="10.375" bestFit="1" customWidth="1"/>
    <col min="11" max="11" width="11.25" bestFit="1" customWidth="1"/>
  </cols>
  <sheetData>
    <row r="3" spans="1:12" x14ac:dyDescent="0.2">
      <c r="A3" s="1" t="s">
        <v>0</v>
      </c>
      <c r="B3" s="2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3" t="s">
        <v>8</v>
      </c>
      <c r="J3" s="2" t="s">
        <v>9</v>
      </c>
      <c r="K3" s="2" t="s">
        <v>10</v>
      </c>
      <c r="L3" s="4" t="s">
        <v>11</v>
      </c>
    </row>
    <row r="4" spans="1:12" x14ac:dyDescent="0.2">
      <c r="A4" s="14"/>
      <c r="B4" s="15" t="str">
        <f>TEXT(TABLE_SOURCE[[#This Row],[Date]], "dddd")</f>
        <v>Saturday</v>
      </c>
      <c r="C4" s="16"/>
      <c r="D4" s="16"/>
      <c r="E4" s="17">
        <f>TABLE_SOURCE[[#This Row],[End]]-TABLE_SOURCE[[#This Row],[Start]]</f>
        <v>0</v>
      </c>
      <c r="F4" s="15" t="str">
        <f>"Week " &amp; INT((TABLE_SOURCE[[#This Row],[Date]]-USER_INIT_TIME)/7) + 1</f>
        <v>Week -6088</v>
      </c>
      <c r="G4" s="18" t="str">
        <f>YEAR(TABLE_SOURCE[Date]) &amp; "-" &amp; MONTH(TABLE_SOURCE[Date])</f>
        <v>1900-1</v>
      </c>
      <c r="H4" s="19"/>
      <c r="I4" s="18">
        <f>IF(ISERROR(FIND("/",TABLE_SOURCE[Task])),H4,MID(TABLE_SOURCE[Task],1,FIND("/",TABLE_SOURCE[Task])-1))</f>
        <v>0</v>
      </c>
      <c r="J4" s="18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4" s="18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4" s="20"/>
    </row>
  </sheetData>
  <dataValidations count="1">
    <dataValidation type="list" allowBlank="1" showInputMessage="1" showErrorMessage="1" sqref="H4">
      <formula1>TASK_VALIDATION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5"/>
  <sheetViews>
    <sheetView workbookViewId="0">
      <selection activeCell="G20" sqref="G20"/>
    </sheetView>
  </sheetViews>
  <sheetFormatPr defaultRowHeight="14.25" x14ac:dyDescent="0.2"/>
  <cols>
    <col min="1" max="1" width="22" bestFit="1" customWidth="1"/>
    <col min="3" max="3" width="9.625" bestFit="1" customWidth="1"/>
    <col min="4" max="4" width="15.125" bestFit="1" customWidth="1"/>
  </cols>
  <sheetData>
    <row r="2" spans="1:4" x14ac:dyDescent="0.2">
      <c r="A2" t="s">
        <v>18</v>
      </c>
      <c r="C2" t="s">
        <v>16</v>
      </c>
      <c r="D2" t="s">
        <v>17</v>
      </c>
    </row>
    <row r="3" spans="1:4" x14ac:dyDescent="0.2">
      <c r="A3" t="s">
        <v>22</v>
      </c>
      <c r="C3" t="s">
        <v>12</v>
      </c>
      <c r="D3" s="5">
        <v>42617</v>
      </c>
    </row>
    <row r="4" spans="1:4" x14ac:dyDescent="0.2">
      <c r="A4" t="s">
        <v>23</v>
      </c>
      <c r="C4" t="s">
        <v>19</v>
      </c>
      <c r="D4" t="s">
        <v>21</v>
      </c>
    </row>
    <row r="5" spans="1:4" x14ac:dyDescent="0.2">
      <c r="A5" t="s">
        <v>24</v>
      </c>
      <c r="C5" t="s">
        <v>20</v>
      </c>
      <c r="D5" t="s">
        <v>26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cols>
    <col min="1" max="1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Input Page</vt:lpstr>
      <vt:lpstr>System Variables</vt:lpstr>
      <vt:lpstr>Timesheet</vt:lpstr>
      <vt:lpstr>Settings</vt:lpstr>
      <vt:lpstr>Overview</vt:lpstr>
      <vt:lpstr>SYS_DATE</vt:lpstr>
      <vt:lpstr>SYS_TIME_END</vt:lpstr>
      <vt:lpstr>SYS_TIME_REC_CURR</vt:lpstr>
      <vt:lpstr>SYS_TIME_REC_INIT</vt:lpstr>
      <vt:lpstr>SYS_TIME_START</vt:lpstr>
      <vt:lpstr>TASK_VALIDATION</vt:lpstr>
      <vt:lpstr>USER_COMPANY</vt:lpstr>
      <vt:lpstr>USER_INIT_TIME</vt:lpstr>
      <vt:lpstr>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2016-08-22T11:58:01Z</dcterms:created>
  <dcterms:modified xsi:type="dcterms:W3CDTF">2016-09-05T12:02:28Z</dcterms:modified>
</cp:coreProperties>
</file>