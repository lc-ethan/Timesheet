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than.l\Dropbox\Working Space\General\Tools\Productivity\Timesheet\"/>
    </mc:Choice>
  </mc:AlternateContent>
  <bookViews>
    <workbookView xWindow="0" yWindow="0" windowWidth="13335" windowHeight="7500"/>
  </bookViews>
  <sheets>
    <sheet name="Input Page" sheetId="3" r:id="rId1"/>
    <sheet name="Change Log" sheetId="7" r:id="rId2"/>
    <sheet name="Time Sheet" sheetId="1" r:id="rId3"/>
    <sheet name="Task List" sheetId="2" r:id="rId4"/>
    <sheet name="Overview" sheetId="5" r:id="rId5"/>
    <sheet name="Fortnightly Summary" sheetId="4" r:id="rId6"/>
    <sheet name="Project Summary" sheetId="6" r:id="rId7"/>
  </sheets>
  <definedNames>
    <definedName name="COMPANY">'Task List'!$D$7</definedName>
    <definedName name="CURRENT_DATE">'Task List'!$D$4</definedName>
    <definedName name="INITIAL_DATE">'Task List'!$D$2</definedName>
    <definedName name="INITIAL_TIMER">'Task List'!$D$3</definedName>
    <definedName name="OWNER">'Task List'!$D$6</definedName>
    <definedName name="TASK_VALIDATION">TABLE_TASK[Task List]</definedName>
    <definedName name="TRACKED_TIMER">'Task List'!$D$5</definedName>
    <definedName name="TRACKER_TASK">'Input Page'!$J$9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" l="1"/>
  <c r="C1" i="3" s="1"/>
  <c r="M3" i="3"/>
  <c r="L1" i="3"/>
  <c r="E4" i="1"/>
  <c r="B4" i="1"/>
  <c r="F4" i="1"/>
  <c r="G4" i="1"/>
  <c r="I4" i="1"/>
  <c r="J4" i="1"/>
  <c r="K4" i="1"/>
  <c r="C3" i="3" l="1"/>
  <c r="A1" i="3"/>
</calcChain>
</file>

<file path=xl/sharedStrings.xml><?xml version="1.0" encoding="utf-8"?>
<sst xmlns="http://schemas.openxmlformats.org/spreadsheetml/2006/main" count="46" uniqueCount="39">
  <si>
    <t>Date</t>
  </si>
  <si>
    <t>DoW</t>
  </si>
  <si>
    <t>Start</t>
  </si>
  <si>
    <t>End</t>
  </si>
  <si>
    <t>Duration</t>
  </si>
  <si>
    <t>Month</t>
  </si>
  <si>
    <t>Task</t>
  </si>
  <si>
    <t>Comment</t>
  </si>
  <si>
    <t>Project Type</t>
  </si>
  <si>
    <t>Project Code</t>
  </si>
  <si>
    <t>Project Status</t>
  </si>
  <si>
    <t>Week</t>
  </si>
  <si>
    <t>Task List</t>
  </si>
  <si>
    <t>Start Date</t>
  </si>
  <si>
    <t>General/Internal Meeting/</t>
  </si>
  <si>
    <t>Index</t>
  </si>
  <si>
    <t>Variable</t>
  </si>
  <si>
    <t>Value</t>
  </si>
  <si>
    <t>Initial Time</t>
  </si>
  <si>
    <t>Today's Date</t>
  </si>
  <si>
    <t>Tracked Time</t>
  </si>
  <si>
    <t>Select Task:</t>
  </si>
  <si>
    <t>Owner</t>
  </si>
  <si>
    <t>Ethan Li</t>
  </si>
  <si>
    <t>Company</t>
  </si>
  <si>
    <t>Harmonic Analytics</t>
  </si>
  <si>
    <t>Delete</t>
  </si>
  <si>
    <t>TIME LOG</t>
  </si>
  <si>
    <t>TASK TRACKER</t>
  </si>
  <si>
    <t>Return</t>
  </si>
  <si>
    <t>General/Break/</t>
  </si>
  <si>
    <t>General/Admin/</t>
  </si>
  <si>
    <t>Analytics/NZTA-CA/c. Solution Development;</t>
  </si>
  <si>
    <t>Action</t>
  </si>
  <si>
    <t>Include workbook definition in function NEXT_TICK()</t>
  </si>
  <si>
    <t>The timer will not be affected by the open of other workbook.</t>
  </si>
  <si>
    <t>Change the sorting method in LOG_INPUT()</t>
  </si>
  <si>
    <t>TABLE_INPUT will be properly sorted by date and start time when logged.</t>
  </si>
  <si>
    <t>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</si>
</sst>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/mm/yy;@"/>
    <numFmt numFmtId="165" formatCode="d/mm/yyyy;@"/>
    <numFmt numFmtId="166" formatCode="hh:mm:ss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 tint="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u/>
      <sz val="22"/>
      <color theme="1" tint="0.249977111117893"/>
      <name val="Calibri"/>
      <family val="2"/>
      <scheme val="minor"/>
    </font>
    <font>
      <b/>
      <sz val="26"/>
      <color theme="4" tint="-0.249977111117893"/>
      <name val="Tw Cen MT"/>
      <family val="2"/>
    </font>
    <font>
      <b/>
      <sz val="9"/>
      <color theme="4" tint="-0.249977111117893"/>
      <name val="Tw Cen MT"/>
      <family val="2"/>
    </font>
    <font>
      <b/>
      <sz val="11"/>
      <color theme="1"/>
      <name val="Calibri"/>
      <family val="2"/>
      <scheme val="minor"/>
    </font>
    <font>
      <b/>
      <sz val="18"/>
      <color theme="4" tint="-0.249977111117893"/>
      <name val="Tw Cen MT"/>
      <family val="2"/>
    </font>
    <font>
      <b/>
      <sz val="18"/>
      <color theme="0"/>
      <name val="Tw Cen MT"/>
      <family val="2"/>
    </font>
    <font>
      <u/>
      <sz val="16"/>
      <color theme="4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1" tint="0.249977111117893"/>
      </bottom>
      <diagonal/>
    </border>
    <border>
      <left/>
      <right/>
      <top/>
      <bottom style="thin">
        <color theme="4" tint="-0.249977111117893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164" fontId="0" fillId="0" borderId="0" xfId="0" applyNumberFormat="1"/>
    <xf numFmtId="18" fontId="0" fillId="3" borderId="5" xfId="0" applyNumberFormat="1" applyFont="1" applyFill="1" applyBorder="1" applyAlignment="1">
      <alignment vertical="center"/>
    </xf>
    <xf numFmtId="0" fontId="0" fillId="3" borderId="6" xfId="0" applyFont="1" applyFill="1" applyBorder="1" applyAlignment="1">
      <alignment wrapText="1"/>
    </xf>
    <xf numFmtId="0" fontId="0" fillId="0" borderId="1" xfId="0" applyBorder="1"/>
    <xf numFmtId="0" fontId="0" fillId="0" borderId="2" xfId="0" applyBorder="1"/>
    <xf numFmtId="0" fontId="1" fillId="2" borderId="8" xfId="0" applyFont="1" applyFill="1" applyBorder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  <xf numFmtId="165" fontId="0" fillId="3" borderId="4" xfId="0" applyNumberFormat="1" applyFont="1" applyFill="1" applyBorder="1" applyAlignment="1">
      <alignment vertical="center"/>
    </xf>
    <xf numFmtId="0" fontId="0" fillId="0" borderId="7" xfId="0" applyBorder="1" applyAlignment="1">
      <alignment horizontal="left" vertical="center"/>
    </xf>
    <xf numFmtId="0" fontId="0" fillId="0" borderId="7" xfId="0" applyNumberFormat="1" applyBorder="1" applyAlignment="1">
      <alignment horizontal="left" vertical="center"/>
    </xf>
    <xf numFmtId="20" fontId="0" fillId="0" borderId="7" xfId="0" applyNumberFormat="1" applyBorder="1" applyAlignment="1">
      <alignment horizontal="left" vertical="center"/>
    </xf>
    <xf numFmtId="0" fontId="2" fillId="0" borderId="0" xfId="0" applyFont="1" applyAlignment="1">
      <alignment vertical="center"/>
    </xf>
    <xf numFmtId="0" fontId="0" fillId="3" borderId="8" xfId="0" applyFont="1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166" fontId="0" fillId="0" borderId="0" xfId="0" applyNumberFormat="1"/>
    <xf numFmtId="22" fontId="0" fillId="0" borderId="0" xfId="0" applyNumberFormat="1"/>
    <xf numFmtId="21" fontId="0" fillId="0" borderId="0" xfId="0" applyNumberFormat="1"/>
    <xf numFmtId="0" fontId="0" fillId="3" borderId="8" xfId="0" applyFont="1" applyFill="1" applyBorder="1"/>
    <xf numFmtId="0" fontId="1" fillId="6" borderId="8" xfId="0" applyFont="1" applyFill="1" applyBorder="1"/>
    <xf numFmtId="0" fontId="0" fillId="0" borderId="0" xfId="0" applyFill="1"/>
    <xf numFmtId="165" fontId="0" fillId="0" borderId="0" xfId="0" applyNumberFormat="1"/>
    <xf numFmtId="0" fontId="5" fillId="0" borderId="0" xfId="0" applyFont="1" applyAlignment="1">
      <alignment vertical="center"/>
    </xf>
    <xf numFmtId="0" fontId="7" fillId="0" borderId="0" xfId="0" applyFont="1" applyAlignment="1">
      <alignment horizontal="center" vertical="top"/>
    </xf>
    <xf numFmtId="0" fontId="1" fillId="2" borderId="2" xfId="0" applyFont="1" applyFill="1" applyBorder="1" applyAlignment="1">
      <alignment horizontal="center"/>
    </xf>
    <xf numFmtId="0" fontId="5" fillId="0" borderId="0" xfId="0" applyFont="1" applyBorder="1" applyAlignment="1">
      <alignment vertical="center"/>
    </xf>
    <xf numFmtId="0" fontId="8" fillId="0" borderId="10" xfId="0" applyFont="1" applyBorder="1"/>
    <xf numFmtId="0" fontId="9" fillId="0" borderId="10" xfId="0" applyFont="1" applyBorder="1"/>
    <xf numFmtId="0" fontId="5" fillId="0" borderId="11" xfId="0" applyFont="1" applyBorder="1" applyAlignment="1">
      <alignment vertical="center"/>
    </xf>
    <xf numFmtId="0" fontId="0" fillId="3" borderId="5" xfId="0" applyFont="1" applyFill="1" applyBorder="1" applyAlignment="1">
      <alignment vertical="center" wrapText="1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NumberFormat="1" applyAlignment="1">
      <alignment horizontal="center" vertical="center"/>
    </xf>
    <xf numFmtId="0" fontId="10" fillId="4" borderId="0" xfId="0" applyFont="1" applyFill="1" applyAlignment="1">
      <alignment horizontal="right" vertical="center"/>
    </xf>
    <xf numFmtId="0" fontId="6" fillId="0" borderId="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4" fillId="4" borderId="0" xfId="1" applyFont="1" applyFill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6" fillId="0" borderId="11" xfId="0" applyFont="1" applyBorder="1" applyAlignment="1">
      <alignment horizontal="left" vertical="center"/>
    </xf>
    <xf numFmtId="0" fontId="0" fillId="5" borderId="12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11" fillId="0" borderId="0" xfId="1" applyFont="1" applyAlignment="1">
      <alignment horizontal="left" vertical="center"/>
    </xf>
  </cellXfs>
  <cellStyles count="2">
    <cellStyle name="Hyperlink" xfId="1" builtinId="8"/>
    <cellStyle name="Normal" xfId="0" builtinId="0"/>
  </cellStyles>
  <dxfs count="34">
    <dxf>
      <numFmt numFmtId="164" formatCode="d/mm/yy;@"/>
    </dxf>
    <dxf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5" formatCode="h:mm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h:mm\ AM/PM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167" formatCode="h:mm\ AM/PM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/mm/yyyy;@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textRotation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h:mm\ AM/PM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justifyLastLine="0" shrinkToFit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h:mm\ AM/PM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justifyLastLine="0" shrinkToFit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d/mm/yy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justifyLastLine="0" shrinkToFit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Project Summary'!A1"/><Relationship Id="rId2" Type="http://schemas.openxmlformats.org/officeDocument/2006/relationships/hyperlink" Target="#'Fortnightly Summary'!A1"/><Relationship Id="rId1" Type="http://schemas.openxmlformats.org/officeDocument/2006/relationships/hyperlink" Target="#Overview!A1"/><Relationship Id="rId5" Type="http://schemas.openxmlformats.org/officeDocument/2006/relationships/hyperlink" Target="#'Task List'!A1"/><Relationship Id="rId4" Type="http://schemas.openxmlformats.org/officeDocument/2006/relationships/hyperlink" Target="#'Time Sheet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15322</xdr:colOff>
      <xdr:row>8</xdr:row>
      <xdr:rowOff>2394</xdr:rowOff>
    </xdr:from>
    <xdr:to>
      <xdr:col>2</xdr:col>
      <xdr:colOff>107052</xdr:colOff>
      <xdr:row>9</xdr:row>
      <xdr:rowOff>190499</xdr:rowOff>
    </xdr:to>
    <xdr:sp macro="[0]!ADD_ROW" textlink="">
      <xdr:nvSpPr>
        <xdr:cNvPr id="2" name="Rounded Rectangle 1"/>
        <xdr:cNvSpPr/>
      </xdr:nvSpPr>
      <xdr:spPr>
        <a:xfrm>
          <a:off x="15322" y="1335894"/>
          <a:ext cx="1474926" cy="378605"/>
        </a:xfrm>
        <a:prstGeom prst="roundRect">
          <a:avLst/>
        </a:prstGeom>
        <a:solidFill>
          <a:schemeClr val="accent1"/>
        </a:solidFill>
        <a:ln w="12700" cap="rnd" cmpd="sng">
          <a:solidFill>
            <a:schemeClr val="tx1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600" b="1"/>
            <a:t>New</a:t>
          </a:r>
          <a:r>
            <a:rPr lang="en-NZ" sz="1600" b="1" baseline="0"/>
            <a:t> Entry</a:t>
          </a:r>
          <a:endParaRPr lang="en-NZ" sz="1600" b="1"/>
        </a:p>
      </xdr:txBody>
    </xdr:sp>
    <xdr:clientData/>
  </xdr:twoCellAnchor>
  <xdr:twoCellAnchor>
    <xdr:from>
      <xdr:col>2</xdr:col>
      <xdr:colOff>291134</xdr:colOff>
      <xdr:row>8</xdr:row>
      <xdr:rowOff>0</xdr:rowOff>
    </xdr:from>
    <xdr:to>
      <xdr:col>3</xdr:col>
      <xdr:colOff>1243</xdr:colOff>
      <xdr:row>10</xdr:row>
      <xdr:rowOff>0</xdr:rowOff>
    </xdr:to>
    <xdr:sp macro="[0]!LOG_INPUT" textlink="">
      <xdr:nvSpPr>
        <xdr:cNvPr id="41" name="Flowchart: Connector 40"/>
        <xdr:cNvSpPr/>
      </xdr:nvSpPr>
      <xdr:spPr>
        <a:xfrm>
          <a:off x="1674330" y="1333500"/>
          <a:ext cx="381000" cy="381000"/>
        </a:xfrm>
        <a:prstGeom prst="flowChartConnector">
          <a:avLst/>
        </a:prstGeom>
        <a:solidFill>
          <a:schemeClr val="accent1"/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400" b="1"/>
            <a:t>L</a:t>
          </a:r>
        </a:p>
      </xdr:txBody>
    </xdr:sp>
    <xdr:clientData/>
  </xdr:twoCellAnchor>
  <xdr:twoCellAnchor editAs="absolute">
    <xdr:from>
      <xdr:col>8</xdr:col>
      <xdr:colOff>341591</xdr:colOff>
      <xdr:row>13</xdr:row>
      <xdr:rowOff>56284</xdr:rowOff>
    </xdr:from>
    <xdr:to>
      <xdr:col>13</xdr:col>
      <xdr:colOff>408826</xdr:colOff>
      <xdr:row>22</xdr:row>
      <xdr:rowOff>38966</xdr:rowOff>
    </xdr:to>
    <xdr:sp macro="" textlink="TRACKED_TIMER">
      <xdr:nvSpPr>
        <xdr:cNvPr id="3" name="TextBox 2"/>
        <xdr:cNvSpPr txBox="1">
          <a:spLocks noChangeAspect="1"/>
        </xdr:cNvSpPr>
      </xdr:nvSpPr>
      <xdr:spPr>
        <a:xfrm>
          <a:off x="7323416" y="2637559"/>
          <a:ext cx="4277285" cy="169718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9303AE5-3BA5-4DFE-B3E1-46A1D0EF4279}" type="TxLink">
            <a:rPr lang="en-US" sz="72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</a:rPr>
            <a:pPr algn="ctr"/>
            <a:t>00:00:00</a:t>
          </a:fld>
          <a:endParaRPr lang="en-NZ" sz="400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8</xdr:col>
      <xdr:colOff>66675</xdr:colOff>
      <xdr:row>10</xdr:row>
      <xdr:rowOff>13585</xdr:rowOff>
    </xdr:from>
    <xdr:to>
      <xdr:col>9</xdr:col>
      <xdr:colOff>657225</xdr:colOff>
      <xdr:row>12</xdr:row>
      <xdr:rowOff>9525</xdr:rowOff>
    </xdr:to>
    <xdr:sp macro="[0]!SWITCH_ON" textlink="">
      <xdr:nvSpPr>
        <xdr:cNvPr id="4" name="Flowchart: Alternate Process 3"/>
        <xdr:cNvSpPr/>
      </xdr:nvSpPr>
      <xdr:spPr>
        <a:xfrm>
          <a:off x="7048500" y="2023360"/>
          <a:ext cx="1352550" cy="376940"/>
        </a:xfrm>
        <a:prstGeom prst="flowChartAlternateProcess">
          <a:avLst/>
        </a:prstGeom>
        <a:solidFill>
          <a:schemeClr val="accent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400" b="1">
              <a:solidFill>
                <a:schemeClr val="bg1"/>
              </a:solidFill>
            </a:rPr>
            <a:t>Start</a:t>
          </a:r>
          <a:r>
            <a:rPr lang="en-NZ" sz="1400" b="1" baseline="0">
              <a:solidFill>
                <a:schemeClr val="bg1"/>
              </a:solidFill>
            </a:rPr>
            <a:t> Tracker</a:t>
          </a:r>
          <a:endParaRPr lang="en-NZ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9</xdr:col>
      <xdr:colOff>1052306</xdr:colOff>
      <xdr:row>10</xdr:row>
      <xdr:rowOff>4060</xdr:rowOff>
    </xdr:from>
    <xdr:to>
      <xdr:col>11</xdr:col>
      <xdr:colOff>475008</xdr:colOff>
      <xdr:row>12</xdr:row>
      <xdr:rowOff>0</xdr:rowOff>
    </xdr:to>
    <xdr:sp macro="[0]!SWITCH_OFF" textlink="">
      <xdr:nvSpPr>
        <xdr:cNvPr id="10" name="Flowchart: Alternate Process 9"/>
        <xdr:cNvSpPr/>
      </xdr:nvSpPr>
      <xdr:spPr>
        <a:xfrm>
          <a:off x="8796131" y="2013835"/>
          <a:ext cx="1346752" cy="376940"/>
        </a:xfrm>
        <a:prstGeom prst="flowChartAlternateProcess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400" b="1"/>
            <a:t>Stop Tracker</a:t>
          </a:r>
        </a:p>
      </xdr:txBody>
    </xdr:sp>
    <xdr:clientData/>
  </xdr:twoCellAnchor>
  <xdr:twoCellAnchor editAs="absolute">
    <xdr:from>
      <xdr:col>12</xdr:col>
      <xdr:colOff>76200</xdr:colOff>
      <xdr:row>10</xdr:row>
      <xdr:rowOff>4060</xdr:rowOff>
    </xdr:from>
    <xdr:to>
      <xdr:col>13</xdr:col>
      <xdr:colOff>666750</xdr:colOff>
      <xdr:row>12</xdr:row>
      <xdr:rowOff>0</xdr:rowOff>
    </xdr:to>
    <xdr:sp macro="[0]!RESET_TRACKER" textlink="">
      <xdr:nvSpPr>
        <xdr:cNvPr id="11" name="Flowchart: Alternate Process 10"/>
        <xdr:cNvSpPr/>
      </xdr:nvSpPr>
      <xdr:spPr>
        <a:xfrm>
          <a:off x="10506075" y="2013835"/>
          <a:ext cx="1352550" cy="376940"/>
        </a:xfrm>
        <a:prstGeom prst="flowChartAlternateProcess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400" b="1"/>
            <a:t>Reset</a:t>
          </a:r>
        </a:p>
      </xdr:txBody>
    </xdr:sp>
    <xdr:clientData/>
  </xdr:twoCellAnchor>
  <xdr:twoCellAnchor editAs="absolute">
    <xdr:from>
      <xdr:col>0</xdr:col>
      <xdr:colOff>132114</xdr:colOff>
      <xdr:row>3</xdr:row>
      <xdr:rowOff>24848</xdr:rowOff>
    </xdr:from>
    <xdr:to>
      <xdr:col>1</xdr:col>
      <xdr:colOff>337110</xdr:colOff>
      <xdr:row>4</xdr:row>
      <xdr:rowOff>115956</xdr:rowOff>
    </xdr:to>
    <xdr:sp macro="" textlink="NAV_OVERVIEW">
      <xdr:nvSpPr>
        <xdr:cNvPr id="24" name="TextBox 23">
          <a:hlinkClick xmlns:r="http://schemas.openxmlformats.org/officeDocument/2006/relationships" r:id="rId1"/>
        </xdr:cNvPr>
        <xdr:cNvSpPr txBox="1"/>
      </xdr:nvSpPr>
      <xdr:spPr>
        <a:xfrm>
          <a:off x="132114" y="596348"/>
          <a:ext cx="995571" cy="2816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A7CEFC2-B66A-4C94-9B57-98669F66AB0D}" type="TxLink">
            <a:rPr lang="en-US" sz="1400" b="1" i="0" u="sng" strike="noStrike">
              <a:solidFill>
                <a:srgbClr val="F2F2F2"/>
              </a:solidFill>
              <a:latin typeface="Calibri"/>
            </a:rPr>
            <a:pPr/>
            <a:t>Overview</a:t>
          </a:fld>
          <a:endParaRPr lang="en-NZ" sz="1400" b="1"/>
        </a:p>
      </xdr:txBody>
    </xdr:sp>
    <xdr:clientData/>
  </xdr:twoCellAnchor>
  <xdr:twoCellAnchor editAs="absolute">
    <xdr:from>
      <xdr:col>1</xdr:col>
      <xdr:colOff>570260</xdr:colOff>
      <xdr:row>3</xdr:row>
      <xdr:rowOff>28161</xdr:rowOff>
    </xdr:from>
    <xdr:to>
      <xdr:col>3</xdr:col>
      <xdr:colOff>989773</xdr:colOff>
      <xdr:row>4</xdr:row>
      <xdr:rowOff>119269</xdr:rowOff>
    </xdr:to>
    <xdr:sp macro="" textlink="NAV_OVERVIEW">
      <xdr:nvSpPr>
        <xdr:cNvPr id="28" name="TextBox 27">
          <a:hlinkClick xmlns:r="http://schemas.openxmlformats.org/officeDocument/2006/relationships" r:id="rId2"/>
        </xdr:cNvPr>
        <xdr:cNvSpPr txBox="1"/>
      </xdr:nvSpPr>
      <xdr:spPr>
        <a:xfrm>
          <a:off x="1357108" y="599661"/>
          <a:ext cx="1827556" cy="2816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1400" b="1" u="sng">
              <a:solidFill>
                <a:schemeClr val="bg1"/>
              </a:solidFill>
            </a:rPr>
            <a:t>Fortnightly</a:t>
          </a:r>
          <a:r>
            <a:rPr lang="en-NZ" sz="1400" b="1" u="sng" baseline="0">
              <a:solidFill>
                <a:schemeClr val="bg1"/>
              </a:solidFill>
            </a:rPr>
            <a:t> Summary</a:t>
          </a:r>
          <a:endParaRPr lang="en-NZ" sz="1400" b="1" u="sng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</xdr:col>
      <xdr:colOff>1239079</xdr:colOff>
      <xdr:row>3</xdr:row>
      <xdr:rowOff>31475</xdr:rowOff>
    </xdr:from>
    <xdr:to>
      <xdr:col>4</xdr:col>
      <xdr:colOff>971137</xdr:colOff>
      <xdr:row>4</xdr:row>
      <xdr:rowOff>122583</xdr:rowOff>
    </xdr:to>
    <xdr:sp macro="" textlink="NAV_OVERVIEW">
      <xdr:nvSpPr>
        <xdr:cNvPr id="33" name="TextBox 32">
          <a:hlinkClick xmlns:r="http://schemas.openxmlformats.org/officeDocument/2006/relationships" r:id="rId3"/>
        </xdr:cNvPr>
        <xdr:cNvSpPr txBox="1"/>
      </xdr:nvSpPr>
      <xdr:spPr>
        <a:xfrm>
          <a:off x="3433970" y="602975"/>
          <a:ext cx="1492113" cy="2816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1400" b="1" u="sng">
              <a:solidFill>
                <a:schemeClr val="bg1"/>
              </a:solidFill>
            </a:rPr>
            <a:t>Project</a:t>
          </a:r>
          <a:r>
            <a:rPr lang="en-NZ" sz="1400" b="1" u="sng" baseline="0">
              <a:solidFill>
                <a:schemeClr val="bg1"/>
              </a:solidFill>
            </a:rPr>
            <a:t> Summary</a:t>
          </a:r>
          <a:endParaRPr lang="en-NZ" sz="1400" b="1" u="sng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7</xdr:col>
      <xdr:colOff>86998</xdr:colOff>
      <xdr:row>3</xdr:row>
      <xdr:rowOff>26506</xdr:rowOff>
    </xdr:from>
    <xdr:to>
      <xdr:col>9</xdr:col>
      <xdr:colOff>59634</xdr:colOff>
      <xdr:row>4</xdr:row>
      <xdr:rowOff>117614</xdr:rowOff>
    </xdr:to>
    <xdr:sp macro="" textlink="NAV_OVERVIEW">
      <xdr:nvSpPr>
        <xdr:cNvPr id="35" name="TextBox 34">
          <a:hlinkClick xmlns:r="http://schemas.openxmlformats.org/officeDocument/2006/relationships" r:id="rId4"/>
        </xdr:cNvPr>
        <xdr:cNvSpPr txBox="1"/>
      </xdr:nvSpPr>
      <xdr:spPr>
        <a:xfrm>
          <a:off x="6326669" y="598006"/>
          <a:ext cx="1497911" cy="2816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1400" b="1" u="sng">
              <a:solidFill>
                <a:schemeClr val="bg1"/>
              </a:solidFill>
            </a:rPr>
            <a:t>Source</a:t>
          </a:r>
          <a:r>
            <a:rPr lang="en-NZ" sz="1400" b="1" u="sng" baseline="0">
              <a:solidFill>
                <a:schemeClr val="bg1"/>
              </a:solidFill>
            </a:rPr>
            <a:t> Data</a:t>
          </a:r>
          <a:endParaRPr lang="en-NZ" sz="1400" b="1" u="sng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4</xdr:col>
      <xdr:colOff>1273447</xdr:colOff>
      <xdr:row>3</xdr:row>
      <xdr:rowOff>29819</xdr:rowOff>
    </xdr:from>
    <xdr:to>
      <xdr:col>6</xdr:col>
      <xdr:colOff>683315</xdr:colOff>
      <xdr:row>4</xdr:row>
      <xdr:rowOff>120927</xdr:rowOff>
    </xdr:to>
    <xdr:sp macro="" textlink="NAV_OVERVIEW">
      <xdr:nvSpPr>
        <xdr:cNvPr id="63" name="TextBox 62">
          <a:hlinkClick xmlns:r="http://schemas.openxmlformats.org/officeDocument/2006/relationships" r:id="rId5"/>
        </xdr:cNvPr>
        <xdr:cNvSpPr txBox="1"/>
      </xdr:nvSpPr>
      <xdr:spPr>
        <a:xfrm>
          <a:off x="5228393" y="601319"/>
          <a:ext cx="859324" cy="2816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1400" b="1" u="sng">
              <a:solidFill>
                <a:schemeClr val="bg1"/>
              </a:solidFill>
            </a:rPr>
            <a:t>Set</a:t>
          </a:r>
          <a:r>
            <a:rPr lang="en-NZ" sz="1400" b="1" u="sng" baseline="0">
              <a:solidFill>
                <a:schemeClr val="bg1"/>
              </a:solidFill>
            </a:rPr>
            <a:t>tings</a:t>
          </a:r>
          <a:endParaRPr lang="en-NZ" sz="1400" b="1" u="sng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0</xdr:colOff>
      <xdr:row>8</xdr:row>
      <xdr:rowOff>0</xdr:rowOff>
    </xdr:from>
    <xdr:to>
      <xdr:col>7</xdr:col>
      <xdr:colOff>8904</xdr:colOff>
      <xdr:row>9</xdr:row>
      <xdr:rowOff>188105</xdr:rowOff>
    </xdr:to>
    <xdr:sp macro="[0]!CLEAR_ALL" textlink="">
      <xdr:nvSpPr>
        <xdr:cNvPr id="30" name="Rounded Rectangle 29"/>
        <xdr:cNvSpPr/>
      </xdr:nvSpPr>
      <xdr:spPr>
        <a:xfrm>
          <a:off x="5334000" y="1143000"/>
          <a:ext cx="1582600" cy="378605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600" b="1"/>
            <a:t>Clear</a:t>
          </a:r>
          <a:endParaRPr lang="en-NZ" sz="1600" b="1" baseline="0"/>
        </a:p>
      </xdr:txBody>
    </xdr:sp>
    <xdr:clientData/>
  </xdr:twoCellAnchor>
  <xdr:twoCellAnchor>
    <xdr:from>
      <xdr:col>6</xdr:col>
      <xdr:colOff>332960</xdr:colOff>
      <xdr:row>12</xdr:row>
      <xdr:rowOff>19050</xdr:rowOff>
    </xdr:from>
    <xdr:to>
      <xdr:col>6</xdr:col>
      <xdr:colOff>498612</xdr:colOff>
      <xdr:row>12</xdr:row>
      <xdr:rowOff>184702</xdr:rowOff>
    </xdr:to>
    <xdr:sp macro="CLEAR_LAST_ROW" textlink="">
      <xdr:nvSpPr>
        <xdr:cNvPr id="14" name="Multiplication Sign 13"/>
        <xdr:cNvSpPr/>
      </xdr:nvSpPr>
      <xdr:spPr>
        <a:xfrm>
          <a:off x="5724110" y="2409825"/>
          <a:ext cx="165652" cy="165652"/>
        </a:xfrm>
        <a:prstGeom prst="mathMultiply">
          <a:avLst/>
        </a:prstGeom>
        <a:solidFill>
          <a:schemeClr val="bg2">
            <a:lumMod val="50000"/>
          </a:schemeClr>
        </a:solidFill>
        <a:ln w="12700" cap="flat" cmpd="sng" algn="ctr">
          <a:solidFill>
            <a:schemeClr val="bg2">
              <a:lumMod val="5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TABLE_INPUT" displayName="TABLE_INPUT" ref="A12:G13" totalsRowShown="0" headerRowDxfId="33" dataDxfId="31" headerRowBorderDxfId="32" tableBorderDxfId="30" totalsRowBorderDxfId="29">
  <sortState ref="A13:G15">
    <sortCondition ref="A13:A15"/>
    <sortCondition ref="B13:B15"/>
  </sortState>
  <tableColumns count="7">
    <tableColumn id="1" name="Date" dataDxfId="28"/>
    <tableColumn id="2" name="Start" dataDxfId="27"/>
    <tableColumn id="3" name="End" dataDxfId="26"/>
    <tableColumn id="4" name="Task" dataDxfId="25"/>
    <tableColumn id="5" name="Comment" dataDxfId="24"/>
    <tableColumn id="7" name="Index" dataDxfId="23"/>
    <tableColumn id="6" name="Delete" dataDxf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1:D3" totalsRowShown="0">
  <autoFilter ref="A1:D3"/>
  <tableColumns count="4">
    <tableColumn id="1" name="Date" dataDxfId="21"/>
    <tableColumn id="2" name="Action" dataDxfId="20"/>
    <tableColumn id="3" name="Comment" dataDxfId="19"/>
    <tableColumn id="4" name="Version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E_SOURCE" displayName="TABLE_SOURCE" ref="A3:L4" totalsRowShown="0" headerRowDxfId="17" dataDxfId="15" headerRowBorderDxfId="16" tableBorderDxfId="14" totalsRowBorderDxfId="13">
  <tableColumns count="12">
    <tableColumn id="1" name="Date" dataDxfId="12"/>
    <tableColumn id="2" name="DoW" dataDxfId="11">
      <calculatedColumnFormula>TEXT(TABLE_SOURCE[[#This Row],[Date]], "dddd")</calculatedColumnFormula>
    </tableColumn>
    <tableColumn id="3" name="Start" dataDxfId="10"/>
    <tableColumn id="4" name="End" dataDxfId="9"/>
    <tableColumn id="5" name="Duration" dataDxfId="8">
      <calculatedColumnFormula>TABLE_SOURCE[[#This Row],[End]]-TABLE_SOURCE[[#This Row],[Start]]</calculatedColumnFormula>
    </tableColumn>
    <tableColumn id="6" name="Week" dataDxfId="7">
      <calculatedColumnFormula>"Week " &amp; INT((TABLE_SOURCE[[#This Row],[Date]]-INITIAL_DATE)/7)</calculatedColumnFormula>
    </tableColumn>
    <tableColumn id="7" name="Month" dataDxfId="6">
      <calculatedColumnFormula>YEAR(TABLE_SOURCE[Date]) &amp; "-" &amp; MONTH(TABLE_SOURCE[Date])</calculatedColumnFormula>
    </tableColumn>
    <tableColumn id="8" name="Task" dataDxfId="5"/>
    <tableColumn id="9" name="Project Type" dataDxfId="4">
      <calculatedColumnFormula>IF(ISERROR(FIND("/",TABLE_SOURCE[Task])),H4,MID(TABLE_SOURCE[Task],1,FIND("/",TABLE_SOURCE[Task])-1))</calculatedColumnFormula>
    </tableColumn>
    <tableColumn id="10" name="Project Code" dataDxfId="3">
      <calculatedColumnFormula>IF(ISERROR(FIND("/",TABLE_SOURCE[Task],FIND("/",TABLE_SOURCE[Task])+1)),"N/A",MID(TABLE_SOURCE[Task],FIND("/",TABLE_SOURCE[Task])+1,FIND("/",TABLE_SOURCE[Task],FIND("/",TABLE_SOURCE[Task])+1)-FIND("/",TABLE_SOURCE[Task],1)-1))</calculatedColumnFormula>
    </tableColumn>
    <tableColumn id="11" name="Project Status" dataDxfId="2">
      <calculatedColumnFormula>IF(ISERROR(FIND(";",TABLE_SOURCE[Task])),"N/A",MID(TABLE_SOURCE[Task],FIND("/",TABLE_SOURCE[Task],FIND("/",TABLE_SOURCE[Task])+1)+1,FIND(";",TABLE_SOURCE[Task]) -1 -FIND("/",TABLE_SOURCE[Task],FIND("/",TABLE_SOURCE[Task])+1)))</calculatedColumnFormula>
    </tableColumn>
    <tableColumn id="12" name="Comment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E_TASK" displayName="TABLE_TASK" ref="A1:A5" totalsRowShown="0">
  <autoFilter ref="A1:A5"/>
  <sortState ref="A2:A4">
    <sortCondition ref="A1"/>
  </sortState>
  <tableColumns count="1">
    <tableColumn id="1" name="Task Lis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_PARAMETERS" displayName="TABLE_PARAMETERS" ref="C1:D7" totalsRowShown="0">
  <autoFilter ref="C1:D7"/>
  <tableColumns count="2">
    <tableColumn id="1" name="Variable"/>
    <tableColumn id="2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F2F2F2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-0.249977111117893"/>
  </sheetPr>
  <dimension ref="A1:N28"/>
  <sheetViews>
    <sheetView showGridLines="0" tabSelected="1" zoomScale="115" zoomScaleNormal="115" zoomScalePageLayoutView="145" workbookViewId="0">
      <selection activeCell="E16" sqref="E16"/>
    </sheetView>
  </sheetViews>
  <sheetFormatPr defaultColWidth="11.42578125" defaultRowHeight="15" x14ac:dyDescent="0.25"/>
  <cols>
    <col min="1" max="1" width="11.85546875" customWidth="1"/>
    <col min="2" max="3" width="10.42578125" customWidth="1"/>
    <col min="4" max="4" width="26.42578125" customWidth="1"/>
    <col min="5" max="5" width="21.7109375" customWidth="1"/>
    <col min="6" max="6" width="11.42578125" hidden="1" customWidth="1"/>
    <col min="7" max="7" width="12.42578125" customWidth="1"/>
    <col min="10" max="10" width="17.42578125" customWidth="1"/>
  </cols>
  <sheetData>
    <row r="1" spans="1:14" ht="15" customHeight="1" x14ac:dyDescent="0.25">
      <c r="A1" s="37">
        <f ca="1">YEAR(CURRENT_DATE)</f>
        <v>2016</v>
      </c>
      <c r="B1" s="37"/>
      <c r="C1" s="41" t="str">
        <f ca="1" xml:space="preserve"> UPPER(TEXT(CURRENT_DATE, "mmmm")) &amp; "-" &amp; TEXT(CURRENT_DATE, "dd")</f>
        <v>AUGUST-03</v>
      </c>
      <c r="D1" s="41"/>
      <c r="E1" s="29"/>
      <c r="F1" s="29"/>
      <c r="G1" s="29"/>
      <c r="H1" s="26"/>
      <c r="I1" s="26"/>
      <c r="J1" s="26"/>
      <c r="K1" s="26"/>
      <c r="L1" s="38" t="str">
        <f>UPPER(OWNER)</f>
        <v>ETHAN LI</v>
      </c>
      <c r="M1" s="38"/>
      <c r="N1" s="38"/>
    </row>
    <row r="2" spans="1:14" ht="15" customHeight="1" x14ac:dyDescent="0.25">
      <c r="A2" s="37"/>
      <c r="B2" s="37"/>
      <c r="C2" s="42"/>
      <c r="D2" s="42"/>
      <c r="E2" s="32"/>
      <c r="F2" s="32"/>
      <c r="G2" s="32"/>
      <c r="H2" s="26"/>
      <c r="I2" s="26"/>
      <c r="J2" s="26"/>
      <c r="K2" s="26"/>
      <c r="L2" s="39"/>
      <c r="M2" s="39"/>
      <c r="N2" s="39"/>
    </row>
    <row r="3" spans="1:14" ht="15" customHeight="1" x14ac:dyDescent="0.25">
      <c r="A3" s="26"/>
      <c r="B3" s="26"/>
      <c r="C3" s="27" t="str">
        <f ca="1">"(Week " &amp; INT((CURRENT_DATE-INITIAL_DATE)/7) &amp; ")"</f>
        <v>(Week 5)</v>
      </c>
      <c r="D3" s="29"/>
      <c r="E3" s="26"/>
      <c r="F3" s="26"/>
      <c r="G3" s="26"/>
      <c r="H3" s="26"/>
      <c r="I3" s="26"/>
      <c r="J3" s="26"/>
      <c r="K3" s="26"/>
      <c r="L3" s="26"/>
      <c r="M3" s="27" t="str">
        <f>COMPANY</f>
        <v>Harmonic Analytics</v>
      </c>
      <c r="N3" s="26"/>
    </row>
    <row r="4" spans="1:14" s="40" customFormat="1" ht="15" customHeight="1" x14ac:dyDescent="0.25"/>
    <row r="5" spans="1:14" s="40" customFormat="1" ht="15" customHeight="1" x14ac:dyDescent="0.25"/>
    <row r="7" spans="1:14" ht="23.25" customHeight="1" x14ac:dyDescent="0.35">
      <c r="A7" s="31" t="s">
        <v>27</v>
      </c>
      <c r="B7" s="30"/>
      <c r="C7" s="30"/>
      <c r="D7" s="30"/>
      <c r="E7" s="30"/>
      <c r="F7" s="30"/>
      <c r="G7" s="30"/>
      <c r="I7" s="31" t="s">
        <v>28</v>
      </c>
      <c r="J7" s="30"/>
      <c r="K7" s="30"/>
      <c r="L7" s="30"/>
      <c r="M7" s="30"/>
      <c r="N7" s="30"/>
    </row>
    <row r="8" spans="1:14" ht="15" customHeight="1" x14ac:dyDescent="0.25"/>
    <row r="9" spans="1:14" ht="15" customHeight="1" x14ac:dyDescent="0.25">
      <c r="A9" s="14"/>
      <c r="B9" s="14"/>
      <c r="C9" s="14"/>
      <c r="I9" s="23" t="s">
        <v>21</v>
      </c>
      <c r="J9" s="43"/>
      <c r="K9" s="44"/>
      <c r="L9" s="44"/>
    </row>
    <row r="10" spans="1:14" ht="15" customHeight="1" x14ac:dyDescent="0.25">
      <c r="A10" s="14"/>
      <c r="B10" s="14"/>
      <c r="C10" s="14"/>
    </row>
    <row r="12" spans="1:14" x14ac:dyDescent="0.25">
      <c r="A12" s="7" t="s">
        <v>0</v>
      </c>
      <c r="B12" s="8" t="s">
        <v>2</v>
      </c>
      <c r="C12" s="8" t="s">
        <v>3</v>
      </c>
      <c r="D12" s="8" t="s">
        <v>6</v>
      </c>
      <c r="E12" s="9" t="s">
        <v>7</v>
      </c>
      <c r="F12" s="6" t="s">
        <v>15</v>
      </c>
      <c r="G12" s="28" t="s">
        <v>26</v>
      </c>
    </row>
    <row r="13" spans="1:14" x14ac:dyDescent="0.25">
      <c r="A13" s="10"/>
      <c r="B13" s="2"/>
      <c r="C13" s="2"/>
      <c r="D13" s="33"/>
      <c r="E13" s="3"/>
      <c r="F13" s="15">
        <v>1</v>
      </c>
      <c r="G13" s="22"/>
    </row>
    <row r="19" spans="3:10" x14ac:dyDescent="0.25">
      <c r="C19" s="24"/>
    </row>
    <row r="28" spans="3:10" x14ac:dyDescent="0.25">
      <c r="J28" s="20"/>
    </row>
  </sheetData>
  <sheetProtection selectLockedCells="1"/>
  <dataConsolidate/>
  <mergeCells count="5">
    <mergeCell ref="A1:B2"/>
    <mergeCell ref="L1:N2"/>
    <mergeCell ref="A4:XFD5"/>
    <mergeCell ref="C1:D2"/>
    <mergeCell ref="J9:L9"/>
  </mergeCells>
  <dataValidations count="1">
    <dataValidation type="list" allowBlank="1" showInputMessage="1" showErrorMessage="1" sqref="J9 D13">
      <formula1>TASK_VALIDATION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autoPageBreaks="0"/>
  </sheetPr>
  <dimension ref="A1:D3"/>
  <sheetViews>
    <sheetView workbookViewId="0">
      <selection activeCell="I4" sqref="I4"/>
    </sheetView>
  </sheetViews>
  <sheetFormatPr defaultColWidth="8.85546875" defaultRowHeight="15" x14ac:dyDescent="0.25"/>
  <cols>
    <col min="1" max="1" width="9.7109375" bestFit="1" customWidth="1"/>
    <col min="2" max="2" width="28.42578125" customWidth="1"/>
    <col min="3" max="3" width="33.140625" customWidth="1"/>
  </cols>
  <sheetData>
    <row r="1" spans="1:4" x14ac:dyDescent="0.25">
      <c r="A1" t="s">
        <v>0</v>
      </c>
      <c r="B1" t="s">
        <v>33</v>
      </c>
      <c r="C1" t="s">
        <v>7</v>
      </c>
      <c r="D1" t="s">
        <v>38</v>
      </c>
    </row>
    <row r="2" spans="1:4" ht="30" x14ac:dyDescent="0.25">
      <c r="A2" s="34">
        <v>42555</v>
      </c>
      <c r="B2" s="35" t="s">
        <v>34</v>
      </c>
      <c r="C2" s="35" t="s">
        <v>35</v>
      </c>
      <c r="D2" s="36">
        <v>1</v>
      </c>
    </row>
    <row r="3" spans="1:4" ht="45" x14ac:dyDescent="0.25">
      <c r="A3" s="34">
        <v>42555</v>
      </c>
      <c r="B3" s="35" t="s">
        <v>36</v>
      </c>
      <c r="C3" s="35" t="s">
        <v>37</v>
      </c>
      <c r="D3" s="36">
        <v>1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-0.249977111117893"/>
  </sheetPr>
  <dimension ref="A1:L4"/>
  <sheetViews>
    <sheetView showGridLines="0" workbookViewId="0">
      <selection activeCell="D36" sqref="D36"/>
    </sheetView>
  </sheetViews>
  <sheetFormatPr defaultColWidth="8.85546875" defaultRowHeight="15" x14ac:dyDescent="0.25"/>
  <cols>
    <col min="1" max="1" width="12.7109375" customWidth="1"/>
    <col min="2" max="2" width="8.7109375" style="17" bestFit="1" customWidth="1"/>
    <col min="3" max="4" width="10" bestFit="1" customWidth="1"/>
    <col min="5" max="5" width="8.7109375" style="17" customWidth="1"/>
    <col min="6" max="6" width="11.28515625" style="17" bestFit="1" customWidth="1"/>
    <col min="7" max="7" width="12.7109375" style="17" customWidth="1"/>
    <col min="8" max="8" width="22" bestFit="1" customWidth="1"/>
    <col min="9" max="9" width="12" customWidth="1"/>
    <col min="10" max="10" width="16" style="17" bestFit="1" customWidth="1"/>
    <col min="11" max="11" width="23.28515625" style="17" bestFit="1" customWidth="1"/>
    <col min="12" max="12" width="26.28515625" style="17" customWidth="1"/>
  </cols>
  <sheetData>
    <row r="1" spans="1:12" ht="21" x14ac:dyDescent="0.25">
      <c r="A1" s="45" t="s">
        <v>29</v>
      </c>
      <c r="B1" s="45"/>
    </row>
    <row r="3" spans="1:12" x14ac:dyDescent="0.25">
      <c r="A3" s="4" t="s">
        <v>0</v>
      </c>
      <c r="B3" s="16" t="s">
        <v>1</v>
      </c>
      <c r="C3" s="5" t="s">
        <v>2</v>
      </c>
      <c r="D3" s="5" t="s">
        <v>3</v>
      </c>
      <c r="E3" s="16" t="s">
        <v>4</v>
      </c>
      <c r="F3" s="16" t="s">
        <v>11</v>
      </c>
      <c r="G3" s="16" t="s">
        <v>5</v>
      </c>
      <c r="H3" s="5" t="s">
        <v>6</v>
      </c>
      <c r="I3" s="5" t="s">
        <v>8</v>
      </c>
      <c r="J3" s="16" t="s">
        <v>9</v>
      </c>
      <c r="K3" s="16" t="s">
        <v>10</v>
      </c>
      <c r="L3" s="18" t="s">
        <v>7</v>
      </c>
    </row>
    <row r="4" spans="1:12" x14ac:dyDescent="0.25">
      <c r="A4" s="10"/>
      <c r="B4" s="12" t="str">
        <f>TEXT(TABLE_SOURCE[[#This Row],[Date]], "dddd")</f>
        <v>Saturday</v>
      </c>
      <c r="C4" s="2"/>
      <c r="D4" s="2"/>
      <c r="E4" s="13">
        <f>TABLE_SOURCE[[#This Row],[End]]-TABLE_SOURCE[[#This Row],[Start]]</f>
        <v>0</v>
      </c>
      <c r="F4" s="12" t="str">
        <f>"Week " &amp; INT((TABLE_SOURCE[[#This Row],[Date]]-INITIAL_DATE)/7)</f>
        <v>Week -6079</v>
      </c>
      <c r="G4" s="11" t="str">
        <f>YEAR(TABLE_SOURCE[Date]) &amp; "-" &amp; MONTH(TABLE_SOURCE[Date])</f>
        <v>1900-1</v>
      </c>
      <c r="H4" s="33"/>
      <c r="I4" s="11">
        <f>IF(ISERROR(FIND("/",TABLE_SOURCE[Task])),H4,MID(TABLE_SOURCE[Task],1,FIND("/",TABLE_SOURCE[Task])-1))</f>
        <v>0</v>
      </c>
      <c r="J4" s="11" t="str">
        <f>IF(ISERROR(FIND("/",TABLE_SOURCE[Task],FIND("/",TABLE_SOURCE[Task])+1)),"N/A",MID(TABLE_SOURCE[Task],FIND("/",TABLE_SOURCE[Task])+1,FIND("/",TABLE_SOURCE[Task],FIND("/",TABLE_SOURCE[Task])+1)-FIND("/",TABLE_SOURCE[Task],1)-1))</f>
        <v>N/A</v>
      </c>
      <c r="K4" s="11" t="str">
        <f>IF(ISERROR(FIND(";",TABLE_SOURCE[Task])),"N/A",MID(TABLE_SOURCE[Task],FIND("/",TABLE_SOURCE[Task],FIND("/",TABLE_SOURCE[Task])+1)+1,FIND(";",TABLE_SOURCE[Task]) -1 -FIND("/",TABLE_SOURCE[Task],FIND("/",TABLE_SOURCE[Task])+1)))</f>
        <v>N/A</v>
      </c>
      <c r="L4" s="3"/>
    </row>
  </sheetData>
  <mergeCells count="1">
    <mergeCell ref="A1:B1"/>
  </mergeCells>
  <dataValidations count="1">
    <dataValidation type="list" allowBlank="1" showInputMessage="1" showErrorMessage="1" sqref="H4">
      <formula1>TASK_VALIDATION</formula1>
    </dataValidation>
  </dataValidations>
  <hyperlinks>
    <hyperlink ref="A1" location="'Input Page'!A1" display="Return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2" tint="-0.499984740745262"/>
  </sheetPr>
  <dimension ref="A1:F7"/>
  <sheetViews>
    <sheetView workbookViewId="0">
      <selection activeCell="D5" sqref="D5"/>
    </sheetView>
  </sheetViews>
  <sheetFormatPr defaultColWidth="8.85546875" defaultRowHeight="15" x14ac:dyDescent="0.25"/>
  <cols>
    <col min="1" max="1" width="42.140625" bestFit="1" customWidth="1"/>
    <col min="3" max="3" width="13.85546875" customWidth="1"/>
    <col min="4" max="4" width="18.140625" customWidth="1"/>
    <col min="5" max="5" width="10.85546875" customWidth="1"/>
    <col min="7" max="7" width="9.140625" customWidth="1"/>
  </cols>
  <sheetData>
    <row r="1" spans="1:6" x14ac:dyDescent="0.25">
      <c r="A1" t="s">
        <v>12</v>
      </c>
      <c r="C1" t="s">
        <v>16</v>
      </c>
      <c r="D1" t="s">
        <v>17</v>
      </c>
      <c r="F1" s="1"/>
    </row>
    <row r="2" spans="1:6" x14ac:dyDescent="0.25">
      <c r="A2" t="s">
        <v>30</v>
      </c>
      <c r="C2" t="s">
        <v>13</v>
      </c>
      <c r="D2" s="1">
        <v>42548</v>
      </c>
      <c r="E2" s="1"/>
    </row>
    <row r="3" spans="1:6" x14ac:dyDescent="0.25">
      <c r="A3" t="s">
        <v>14</v>
      </c>
      <c r="C3" t="s">
        <v>18</v>
      </c>
      <c r="D3" s="19">
        <v>0</v>
      </c>
    </row>
    <row r="4" spans="1:6" x14ac:dyDescent="0.25">
      <c r="A4" t="s">
        <v>31</v>
      </c>
      <c r="C4" t="s">
        <v>19</v>
      </c>
      <c r="D4" s="25">
        <f ca="1">TODAY()</f>
        <v>42585</v>
      </c>
    </row>
    <row r="5" spans="1:6" x14ac:dyDescent="0.25">
      <c r="A5" t="s">
        <v>32</v>
      </c>
      <c r="C5" t="s">
        <v>20</v>
      </c>
      <c r="D5" s="19">
        <v>0</v>
      </c>
    </row>
    <row r="6" spans="1:6" x14ac:dyDescent="0.25">
      <c r="C6" t="s">
        <v>22</v>
      </c>
      <c r="D6" s="1" t="s">
        <v>23</v>
      </c>
    </row>
    <row r="7" spans="1:6" x14ac:dyDescent="0.25">
      <c r="C7" t="s">
        <v>24</v>
      </c>
      <c r="D7" s="1" t="s">
        <v>25</v>
      </c>
    </row>
  </sheetData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"/>
  <sheetViews>
    <sheetView workbookViewId="0"/>
  </sheetViews>
  <sheetFormatPr defaultColWidth="8.85546875" defaultRowHeight="15" x14ac:dyDescent="0.25"/>
  <cols>
    <col min="1" max="1" width="14.85546875" customWidth="1"/>
  </cols>
  <sheetData>
    <row r="1" spans="1:1" x14ac:dyDescent="0.25">
      <c r="A1" s="2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"/>
  <sheetViews>
    <sheetView workbookViewId="0"/>
  </sheetViews>
  <sheetFormatPr defaultColWidth="8.85546875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"/>
  <sheetViews>
    <sheetView workbookViewId="0"/>
  </sheetViews>
  <sheetFormatPr defaultColWidth="8.8554687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Input Page</vt:lpstr>
      <vt:lpstr>Change Log</vt:lpstr>
      <vt:lpstr>Time Sheet</vt:lpstr>
      <vt:lpstr>Task List</vt:lpstr>
      <vt:lpstr>Overview</vt:lpstr>
      <vt:lpstr>Fortnightly Summary</vt:lpstr>
      <vt:lpstr>Project Summary</vt:lpstr>
      <vt:lpstr>COMPANY</vt:lpstr>
      <vt:lpstr>CURRENT_DATE</vt:lpstr>
      <vt:lpstr>INITIAL_DATE</vt:lpstr>
      <vt:lpstr>INITIAL_TIMER</vt:lpstr>
      <vt:lpstr>OWNER</vt:lpstr>
      <vt:lpstr>TASK_VALIDATION</vt:lpstr>
      <vt:lpstr>TRACKED_TIMER</vt:lpstr>
      <vt:lpstr>TRACKER_TASK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 Li</dc:creator>
  <cp:lastModifiedBy>Ethan Li</cp:lastModifiedBy>
  <dcterms:created xsi:type="dcterms:W3CDTF">2016-06-21T04:11:42Z</dcterms:created>
  <dcterms:modified xsi:type="dcterms:W3CDTF">2016-08-03T04:51:59Z</dcterms:modified>
</cp:coreProperties>
</file>